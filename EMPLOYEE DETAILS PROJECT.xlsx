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83f3ccaafc803996/Documents/"/>
    </mc:Choice>
  </mc:AlternateContent>
  <xr:revisionPtr revIDLastSave="571" documentId="8_{0C487601-BF91-4BDF-A2BB-2EDCFBB652AA}" xr6:coauthVersionLast="47" xr6:coauthVersionMax="47" xr10:uidLastSave="{627FCF7B-0B81-4786-B9CA-4B229FEFD4BD}"/>
  <bookViews>
    <workbookView xWindow="-108" yWindow="-108" windowWidth="23256" windowHeight="12456" xr2:uid="{BF9AA42F-8558-488A-905A-5925769C7D91}"/>
  </bookViews>
  <sheets>
    <sheet name="PIVOT TABLES " sheetId="4" r:id="rId1"/>
    <sheet name="DASHBOARD" sheetId="5" r:id="rId2"/>
    <sheet name="DATA CLEANING AND TRANSFORMATIO" sheetId="3" r:id="rId3"/>
    <sheet name="EMPLOYEE DETAILS" sheetId="2" r:id="rId4"/>
  </sheets>
  <definedNames>
    <definedName name="ExternalData_1" localSheetId="3" hidden="1">'EMPLOYEE DETAILS'!$A$1:$J$150</definedName>
    <definedName name="ExternalData_2" localSheetId="2" hidden="1">'DATA CLEANING AND TRANSFORMATIO'!$A$1:$J$140</definedName>
    <definedName name="NativeTimeline_Date_of_Joining">#N/A</definedName>
    <definedName name="Slicer_Department">#N/A</definedName>
    <definedName name="Slicer_Department1">#N/A</definedName>
  </definedNames>
  <calcPr calcId="191029"/>
  <pivotCaches>
    <pivotCache cacheId="18" r:id="rId5"/>
    <pivotCache cacheId="1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3" l="1"/>
  <c r="R24" i="3" s="1" a="1"/>
  <c r="R24" i="3" s="1"/>
  <c r="Q25" i="3"/>
  <c r="R25" i="3" s="1" a="1"/>
  <c r="R25" i="3" s="1"/>
  <c r="Q26" i="3"/>
  <c r="R26" i="3" s="1" a="1"/>
  <c r="R26" i="3" s="1"/>
  <c r="Q27" i="3"/>
  <c r="R27" i="3" s="1" a="1"/>
  <c r="R27" i="3" s="1"/>
  <c r="Q28" i="3"/>
  <c r="R28" i="3" s="1" a="1"/>
  <c r="R28" i="3" s="1"/>
  <c r="Q23" i="3"/>
  <c r="R23" i="3" s="1" a="1"/>
  <c r="R23" i="3" s="1"/>
  <c r="P24" i="3" a="1"/>
  <c r="P24" i="3" s="1"/>
  <c r="P25" i="3" a="1"/>
  <c r="P25" i="3" s="1"/>
  <c r="P26" i="3" a="1"/>
  <c r="P26" i="3" s="1"/>
  <c r="P27" i="3" a="1"/>
  <c r="P27" i="3" s="1"/>
  <c r="P28" i="3" a="1"/>
  <c r="P28" i="3" s="1"/>
  <c r="P23" i="3" a="1"/>
  <c r="P23" i="3" s="1"/>
  <c r="T17" i="3"/>
  <c r="S7" i="3"/>
  <c r="S6" i="3"/>
  <c r="S8" i="3" s="1"/>
  <c r="K28" i="3" l="1"/>
  <c r="S11" i="3"/>
  <c r="S10" i="3"/>
  <c r="K133" i="3"/>
  <c r="K121" i="3"/>
  <c r="K109" i="3"/>
  <c r="K37" i="3"/>
  <c r="K97" i="3"/>
  <c r="K85" i="3"/>
  <c r="K73" i="3"/>
  <c r="K61" i="3"/>
  <c r="K49" i="3"/>
  <c r="K36" i="3"/>
  <c r="K25" i="3"/>
  <c r="K13" i="3"/>
  <c r="K106" i="3"/>
  <c r="K70" i="3"/>
  <c r="K22" i="3"/>
  <c r="K129" i="3"/>
  <c r="K81" i="3"/>
  <c r="K33" i="3"/>
  <c r="K140" i="3"/>
  <c r="K92" i="3"/>
  <c r="K20" i="3"/>
  <c r="K127" i="3"/>
  <c r="K79" i="3"/>
  <c r="K31" i="3"/>
  <c r="K102" i="3"/>
  <c r="K42" i="3"/>
  <c r="K113" i="3"/>
  <c r="K65" i="3"/>
  <c r="K53" i="3"/>
  <c r="K41" i="3"/>
  <c r="K29" i="3"/>
  <c r="K17" i="3"/>
  <c r="K5" i="3"/>
  <c r="K93" i="3"/>
  <c r="K9" i="3"/>
  <c r="K104" i="3"/>
  <c r="K56" i="3"/>
  <c r="K8" i="3"/>
  <c r="K115" i="3"/>
  <c r="K67" i="3"/>
  <c r="K7" i="3"/>
  <c r="K126" i="3"/>
  <c r="K66" i="3"/>
  <c r="K6" i="3"/>
  <c r="K89" i="3"/>
  <c r="K136" i="3"/>
  <c r="K112" i="3"/>
  <c r="K100" i="3"/>
  <c r="K88" i="3"/>
  <c r="K76" i="3"/>
  <c r="K64" i="3"/>
  <c r="K52" i="3"/>
  <c r="K40" i="3"/>
  <c r="K16" i="3"/>
  <c r="K4" i="3"/>
  <c r="K120" i="3"/>
  <c r="K96" i="3"/>
  <c r="K72" i="3"/>
  <c r="K48" i="3"/>
  <c r="K12" i="3"/>
  <c r="K131" i="3"/>
  <c r="K107" i="3"/>
  <c r="K71" i="3"/>
  <c r="K59" i="3"/>
  <c r="K23" i="3"/>
  <c r="K130" i="3"/>
  <c r="K94" i="3"/>
  <c r="K58" i="3"/>
  <c r="K34" i="3"/>
  <c r="K117" i="3"/>
  <c r="K69" i="3"/>
  <c r="K45" i="3"/>
  <c r="K128" i="3"/>
  <c r="K68" i="3"/>
  <c r="K44" i="3"/>
  <c r="K139" i="3"/>
  <c r="K91" i="3"/>
  <c r="K43" i="3"/>
  <c r="K138" i="3"/>
  <c r="K90" i="3"/>
  <c r="K54" i="3"/>
  <c r="K18" i="3"/>
  <c r="K125" i="3"/>
  <c r="K77" i="3"/>
  <c r="K124" i="3"/>
  <c r="K135" i="3"/>
  <c r="K123" i="3"/>
  <c r="K111" i="3"/>
  <c r="K99" i="3"/>
  <c r="K87" i="3"/>
  <c r="K75" i="3"/>
  <c r="K63" i="3"/>
  <c r="K51" i="3"/>
  <c r="K39" i="3"/>
  <c r="K27" i="3"/>
  <c r="K15" i="3"/>
  <c r="K3" i="3"/>
  <c r="K132" i="3"/>
  <c r="K108" i="3"/>
  <c r="K84" i="3"/>
  <c r="K60" i="3"/>
  <c r="K24" i="3"/>
  <c r="K119" i="3"/>
  <c r="K95" i="3"/>
  <c r="K83" i="3"/>
  <c r="K47" i="3"/>
  <c r="K35" i="3"/>
  <c r="K11" i="3"/>
  <c r="K118" i="3"/>
  <c r="K82" i="3"/>
  <c r="K46" i="3"/>
  <c r="K10" i="3"/>
  <c r="K105" i="3"/>
  <c r="K57" i="3"/>
  <c r="K21" i="3"/>
  <c r="K116" i="3"/>
  <c r="K80" i="3"/>
  <c r="K32" i="3"/>
  <c r="K103" i="3"/>
  <c r="K55" i="3"/>
  <c r="K19" i="3"/>
  <c r="K114" i="3"/>
  <c r="K78" i="3"/>
  <c r="K137" i="3"/>
  <c r="K101" i="3"/>
  <c r="K134" i="3"/>
  <c r="K122" i="3"/>
  <c r="K110" i="3"/>
  <c r="K98" i="3"/>
  <c r="K86" i="3"/>
  <c r="K74" i="3"/>
  <c r="K62" i="3"/>
  <c r="K50" i="3"/>
  <c r="K38" i="3"/>
  <c r="K26" i="3"/>
  <c r="K14" i="3"/>
  <c r="K2" i="3"/>
  <c r="S9" i="3"/>
  <c r="N14" i="2" l="1"/>
  <c r="N34" i="2"/>
  <c r="N33" i="2"/>
  <c r="N32" i="2"/>
  <c r="N31" i="2"/>
  <c r="N30" i="2"/>
  <c r="N29" i="2"/>
  <c r="N22" i="2"/>
  <c r="N25" i="2"/>
  <c r="N24" i="2"/>
  <c r="N26" i="2"/>
  <c r="N23"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N19" i="2"/>
  <c r="N17" i="2"/>
  <c r="N16" i="2"/>
  <c r="N15" i="2"/>
  <c r="N1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DA9464-C027-4889-8927-DA75D322CE8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730CA211-5218-4ADC-99C8-1B791D763B3E}"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<sst xmlns="http://schemas.openxmlformats.org/spreadsheetml/2006/main" count="2056" uniqueCount="375">
  <si>
    <t>Employee ID</t>
  </si>
  <si>
    <t>Name</t>
  </si>
  <si>
    <t>Department</t>
  </si>
  <si>
    <t>Country</t>
  </si>
  <si>
    <t>Salary</t>
  </si>
  <si>
    <t>Date of Joining</t>
  </si>
  <si>
    <t>Performance Rating</t>
  </si>
  <si>
    <t>Gender</t>
  </si>
  <si>
    <t>Email</t>
  </si>
  <si>
    <t>Finance</t>
  </si>
  <si>
    <t>N/A</t>
  </si>
  <si>
    <t>Unknown</t>
  </si>
  <si>
    <t>invalid_email</t>
  </si>
  <si>
    <t>EMP1001</t>
  </si>
  <si>
    <t>Eve Adams</t>
  </si>
  <si>
    <t>HR</t>
  </si>
  <si>
    <t>Germany</t>
  </si>
  <si>
    <t>Other</t>
  </si>
  <si>
    <t>user106@example.com</t>
  </si>
  <si>
    <t>EMP1002</t>
  </si>
  <si>
    <t>Alice Brown</t>
  </si>
  <si>
    <t>user176@example.com</t>
  </si>
  <si>
    <t>EMP1003</t>
  </si>
  <si>
    <t>John Doe</t>
  </si>
  <si>
    <t>Sales</t>
  </si>
  <si>
    <t>USA</t>
  </si>
  <si>
    <t>Male</t>
  </si>
  <si>
    <t>user168@example.com</t>
  </si>
  <si>
    <t>EMP1004</t>
  </si>
  <si>
    <t>Jane Smith</t>
  </si>
  <si>
    <t>user49@example.com</t>
  </si>
  <si>
    <t>EMP1005</t>
  </si>
  <si>
    <t>IT</t>
  </si>
  <si>
    <t>India</t>
  </si>
  <si>
    <t>Female</t>
  </si>
  <si>
    <t>user24@example.com</t>
  </si>
  <si>
    <t>EMP1006</t>
  </si>
  <si>
    <t>Sam Wilson</t>
  </si>
  <si>
    <t>EMP1007</t>
  </si>
  <si>
    <t>Chris Lee</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</si>
  <si>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</si>
  <si>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</si>
  <si>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</si>
  <si>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</si>
  <si>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</si>
  <si>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</si>
  <si>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</si>
  <si>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</si>
  <si>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</si>
  <si>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</si>
  <si>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</si>
  <si>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</si>
  <si>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</si>
  <si>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</si>
  <si>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</si>
  <si>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</si>
  <si>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</si>
  <si>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</si>
  <si>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</si>
  <si>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</si>
  <si>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</si>
  <si>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</si>
  <si>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</si>
  <si>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</si>
  <si>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</si>
  <si>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</si>
  <si>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</si>
  <si>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</si>
  <si>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</si>
  <si>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</si>
  <si>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</si>
  <si>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</si>
  <si>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</si>
  <si>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</si>
  <si>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</si>
  <si>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</si>
  <si>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</si>
  <si>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</si>
  <si>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</si>
  <si>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</si>
  <si>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</si>
  <si>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</si>
  <si>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</si>
  <si>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</si>
  <si>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</si>
  <si>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</si>
  <si>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</si>
  <si>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</si>
  <si>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</si>
  <si>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</si>
  <si>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</si>
  <si>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</si>
  <si>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</si>
  <si>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</si>
  <si>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</si>
  <si>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</si>
  <si>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</si>
  <si>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</si>
  <si>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</si>
  <si>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</si>
  <si>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</si>
  <si>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</si>
  <si>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</si>
  <si>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</si>
  <si>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</si>
  <si>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</si>
  <si>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</si>
  <si>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</si>
  <si>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</si>
  <si>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</si>
  <si>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</si>
  <si>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</si>
  <si>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</si>
  <si>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</si>
  <si>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</si>
  <si>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</si>
  <si>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</si>
  <si>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</si>
  <si>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</si>
  <si>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</si>
  <si>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</si>
  <si>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</si>
  <si>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</si>
  <si>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</si>
  <si>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</si>
  <si>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</si>
  <si>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</si>
  <si>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</si>
  <si>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</si>
  <si>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</si>
  <si>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</si>
  <si>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</si>
  <si>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</si>
  <si>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</si>
  <si>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</si>
  <si>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</si>
  <si>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</si>
  <si>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</si>
  <si>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</si>
  <si>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</si>
  <si>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</si>
  <si>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</si>
  <si>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</si>
  <si>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</si>
  <si>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</si>
  <si>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</si>
  <si>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</si>
  <si>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</si>
  <si>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</si>
  <si>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</si>
  <si>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</si>
  <si>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</si>
  <si>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</si>
  <si>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</si>
  <si>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</si>
  <si>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</si>
  <si>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</si>
  <si>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</si>
  <si>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</si>
  <si>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</si>
  <si>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</si>
  <si>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</si>
  <si>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</si>
  <si>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</si>
  <si>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</si>
  <si>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</si>
  <si>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</si>
  <si>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</si>
  <si>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</si>
  <si>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</si>
  <si>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</si>
  <si>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</si>
  <si>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</si>
  <si>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</si>
  <si>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</si>
  <si>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</si>
  <si>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</si>
  <si>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</si>
  <si>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</si>
  <si>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</si>
  <si>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</si>
  <si>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</si>
  <si>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</si>
  <si>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</si>
  <si>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</si>
  <si>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</si>
  <si>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</si>
  <si>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</si>
  <si>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</si>
  <si>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</si>
  <si>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</si>
  <si>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</si>
  <si>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</si>
  <si>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</si>
  <si>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</si>
  <si>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</si>
  <si>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</si>
  <si>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</si>
  <si>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</si>
  <si>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</si>
  <si>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</si>
  <si>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</si>
  <si>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</si>
  <si>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</si>
  <si>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</si>
  <si>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</si>
  <si>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</si>
  <si>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</si>
  <si>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</si>
  <si>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</si>
  <si>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</si>
  <si>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</si>
  <si>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</si>
  <si>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</si>
  <si>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</si>
  <si>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</si>
  <si>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</si>
  <si>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</si>
  <si>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</si>
  <si>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</si>
  <si>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</si>
  <si>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</si>
  <si>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</si>
  <si>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</si>
  <si>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</si>
  <si>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</si>
  <si>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</si>
  <si>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</si>
  <si>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</si>
  <si>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</si>
  <si>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</si>
  <si>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</si>
  <si>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</si>
  <si>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</si>
  <si>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</si>
  <si>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</si>
  <si>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</si>
  <si>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</si>
  <si>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</si>
  <si>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</si>
  <si>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</si>
  <si>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</si>
  <si>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</si>
  <si>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</si>
  <si>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</si>
  <si>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</si>
  <si>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</si>
  <si>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</si>
  <si>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</si>
  <si>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</si>
  <si>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</si>
  <si>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</si>
  <si>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</si>
  <si>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</si>
  <si>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</si>
  <si>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</si>
  <si>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</si>
  <si>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</si>
  <si>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</si>
  <si>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</si>
  <si>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</si>
  <si>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</si>
  <si>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</si>
  <si>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</si>
  <si>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</si>
  <si>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</si>
  <si>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</si>
  <si>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</si>
  <si>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</si>
  <si>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</si>
  <si>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</si>
  <si>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</si>
  <si>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</si>
  <si>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</si>
  <si>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</si>
  <si>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</si>
  <si>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</si>
  <si>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</si>
  <si>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</si>
  <si>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key observation</t>
  </si>
  <si>
    <t>The dataset contains employees across multiple departments.</t>
  </si>
  <si>
    <t>Gender data can be used to measure diversity and identify gender representation across departments and locations.</t>
  </si>
  <si>
    <t>Tenure analysis can help identify if long tenured employees have higher performance ratings or salaries.</t>
  </si>
  <si>
    <t>Salary can also be correlated with performance rating or tenure to see compensation alignment.</t>
  </si>
  <si>
    <t>Email helps identify data formating issues or duplicate entries.</t>
  </si>
  <si>
    <t>MIN()</t>
  </si>
  <si>
    <t>AVERAGE()</t>
  </si>
  <si>
    <t>sum of salary()</t>
  </si>
  <si>
    <t>MAX()</t>
  </si>
  <si>
    <t>COUNTBLANK() IN DATE OF JOINING</t>
  </si>
  <si>
    <t>COUNTA()</t>
  </si>
  <si>
    <t>SUMMARY TABLE</t>
  </si>
  <si>
    <t>FUNCTIONS</t>
  </si>
  <si>
    <t>ANSWERS</t>
  </si>
  <si>
    <t>Sum</t>
  </si>
  <si>
    <t>Count</t>
  </si>
  <si>
    <t>IF()</t>
  </si>
  <si>
    <t>SUMIF()</t>
  </si>
  <si>
    <t>AVERAGEIF()</t>
  </si>
  <si>
    <t>PERFORMANCE LEVEL</t>
  </si>
  <si>
    <t xml:space="preserve"> COUNTIF() EMPLOYEES IN INDIA</t>
  </si>
  <si>
    <t>COUNTIF()  FEMALE EMPLOYEES IN HR DEPARTMENT WITH SALARY &gt;75000</t>
  </si>
  <si>
    <t>GOOD</t>
  </si>
  <si>
    <t>LEFT()</t>
  </si>
  <si>
    <t>RIGHT()</t>
  </si>
  <si>
    <t>MID()</t>
  </si>
  <si>
    <t>UPPER()</t>
  </si>
  <si>
    <t>LOWER()</t>
  </si>
  <si>
    <t>PROPER()</t>
  </si>
  <si>
    <t>NEED TO IMPROVE</t>
  </si>
  <si>
    <t xml:space="preserve">Unknown </t>
  </si>
  <si>
    <t>Mean</t>
  </si>
  <si>
    <t>Standard Error</t>
  </si>
  <si>
    <t>Median</t>
  </si>
  <si>
    <t>Mode</t>
  </si>
  <si>
    <t>Standard Deviation</t>
  </si>
  <si>
    <t>Sample Variance</t>
  </si>
  <si>
    <t>Kurtosis</t>
  </si>
  <si>
    <t>Skewness</t>
  </si>
  <si>
    <t>Range</t>
  </si>
  <si>
    <t>Minimum</t>
  </si>
  <si>
    <t>Maximum</t>
  </si>
  <si>
    <t>SALARY</t>
  </si>
  <si>
    <t>TODAY</t>
  </si>
  <si>
    <t>NOW</t>
  </si>
  <si>
    <t>YEAR</t>
  </si>
  <si>
    <t>MONTH</t>
  </si>
  <si>
    <t>WEEKDAY</t>
  </si>
  <si>
    <t>DATEDIF</t>
  </si>
  <si>
    <t>NO.OF MONTHS AS OF NOW</t>
  </si>
  <si>
    <t>Employee Name</t>
  </si>
  <si>
    <t>VLOOKUP(A19,Sheet1__2[[Employee ID]:[Country]],4,FALSE)</t>
  </si>
  <si>
    <t>EMPLOYEE ID</t>
  </si>
  <si>
    <t>MATCH</t>
  </si>
  <si>
    <t>INDEX</t>
  </si>
  <si>
    <t>DEPARTMENT(XLOOKUP)</t>
  </si>
  <si>
    <t>VLOOKUP</t>
  </si>
  <si>
    <t>FUNCTION</t>
  </si>
  <si>
    <t>FORMULA</t>
  </si>
  <si>
    <t>ANSWER</t>
  </si>
  <si>
    <t>Row Labels</t>
  </si>
  <si>
    <t>Grand Total</t>
  </si>
  <si>
    <t>Column Labels</t>
  </si>
  <si>
    <t>Sum of Salary</t>
  </si>
  <si>
    <t>Count of Employee ID</t>
  </si>
  <si>
    <t xml:space="preserve"> India</t>
  </si>
  <si>
    <t>Not found</t>
  </si>
  <si>
    <t>Sum of Performance Rating</t>
  </si>
  <si>
    <t>2015</t>
  </si>
  <si>
    <t>&lt;1/11/2015</t>
  </si>
  <si>
    <t>2016</t>
  </si>
  <si>
    <t>2017</t>
  </si>
  <si>
    <t>Qtr1</t>
  </si>
  <si>
    <t>Qtr2</t>
  </si>
  <si>
    <t>Qtr3</t>
  </si>
  <si>
    <t>Qtr4</t>
  </si>
  <si>
    <t>(All)</t>
  </si>
  <si>
    <t>SALARY BY DEPARTMENT VS GENDER</t>
  </si>
  <si>
    <t>DEPARTMENT</t>
  </si>
  <si>
    <t>GENDER</t>
  </si>
  <si>
    <t>DESCRIPTIVE ANALYSIS</t>
  </si>
  <si>
    <t>EMPLOYEES FROM SALES DEPARTMENT EARN HIGH SALARY COMPARED TO OTHER DEPARTMENTS.</t>
  </si>
  <si>
    <t xml:space="preserve">THERE LOT OF EMPLOYEES FROM INDIA </t>
  </si>
  <si>
    <t>AMONG THE DEPARTMENTS MARKETING DEPARTMENT HAVE HIGH PERFORMANCE RATING.</t>
  </si>
  <si>
    <t>YEAR BY YEAR THE EMPLOYEES JOINED IN THE COMPANY IS INCREASING.</t>
  </si>
  <si>
    <t>AMONG ALL THE COUNTRY EMPLOYEES FROM INDIA EARN HIGH SALARY.</t>
  </si>
  <si>
    <t>DIAGNOSIS ANALYSIS</t>
  </si>
  <si>
    <t>PREDICTIVE ANALYSIS</t>
  </si>
  <si>
    <t>MARKETING EMPLOYEES HAVE HIGHER PERFORMANCE RATING.BECAUSE OF MARKETING WILL GIVE SALES TO THIS COMPANY.</t>
  </si>
  <si>
    <t>PRESCRIPTIVE ANALYSIS</t>
  </si>
  <si>
    <t xml:space="preserve"> SALARY IS LOWER IN FINANCE DEPARTMENT COMPARED TO OTHER DEPARTMENTS.SO PERFORMANCE RATING IS ALSO LOW THAN OTHER VDEPARTMENTS.</t>
  </si>
  <si>
    <t>MARKETING WILL GIVE LOW RANGE OF PERFORMANCE.</t>
  </si>
  <si>
    <t>IF WE CONCENTRATE ON SALES THE GROWTH OF COMPANY WILL INCREASE.</t>
  </si>
  <si>
    <t>INCREASE SALARY OF MARKETING EMPLOYEES THE PERFORMANCE WILL ALSO INCREASED.</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</si>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</sst>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sz val="16"/>
      <color theme="1"/>
      <name val="Aptos Narrow"/>
      <family val="2"/>
      <scheme val="minor"/>
    </font>
    <font>
      <sz val="12"/>
      <color theme="1"/>
      <name val="Aptos Narrow"/>
      <family val="2"/>
      <scheme val="minor"/>
    </font>
    <font>
      <i/>
      <sz val="11"/>
      <color theme="1"/>
      <name val="Aptos Narrow"/>
      <family val="2"/>
      <scheme val="minor"/>
    </font>
    <font>
      <sz val="26"/>
      <color theme="1"/>
      <name val="Aptos Narrow"/>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6" tint="0.59999389629810485"/>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6">
    <xf numFmtId="0" fontId="0" fillId="0" borderId="0" xfId="0"/>
    <xf numFmtId="0" fontId="1" fillId="0" borderId="0" xfId="0" applyFont="1"/>
    <xf numFmtId="0" fontId="0" fillId="0" borderId="0" xfId="0" applyAlignment="1">
      <alignment horizontal="left"/>
    </xf>
    <xf numFmtId="14" fontId="0" fillId="0" borderId="0" xfId="0" applyNumberFormat="1"/>
    <xf numFmtId="2" fontId="0" fillId="0" borderId="0" xfId="0" applyNumberFormat="1"/>
    <xf numFmtId="0" fontId="0" fillId="0" borderId="0" xfId="0" applyAlignment="1">
      <alignment horizontal="right"/>
    </xf>
    <xf numFmtId="2" fontId="0" fillId="0" borderId="0" xfId="0" applyNumberFormat="1" applyAlignment="1">
      <alignment horizontal="right"/>
    </xf>
    <xf numFmtId="0" fontId="2" fillId="0" borderId="0" xfId="0" applyFont="1"/>
    <xf numFmtId="0" fontId="0" fillId="0" borderId="1" xfId="0" applyBorder="1"/>
    <xf numFmtId="0" fontId="3" fillId="0" borderId="2" xfId="0" applyFont="1" applyBorder="1" applyAlignment="1">
      <alignment horizontal="centerContinuous"/>
    </xf>
    <xf numFmtId="22" fontId="0" fillId="0" borderId="0" xfId="0" applyNumberFormat="1"/>
    <xf numFmtId="0" fontId="0" fillId="0" borderId="0" xfId="0" pivotButton="1"/>
    <xf numFmtId="0" fontId="0" fillId="0" borderId="0" xfId="0" applyAlignment="1">
      <alignment horizontal="left" indent="1"/>
    </xf>
    <xf numFmtId="0" fontId="0" fillId="0" borderId="0" xfId="0" applyNumberFormat="1"/>
    <xf numFmtId="0" fontId="0" fillId="0" borderId="0" xfId="0" applyFont="1"/>
    <xf numFmtId="164" fontId="0" fillId="0" borderId="0" xfId="0" applyNumberFormat="1"/>
    <xf numFmtId="1" fontId="0" fillId="0" borderId="0" xfId="0" applyNumberFormat="1"/>
    <xf numFmtId="0" fontId="0" fillId="0" borderId="0" xfId="0" applyAlignment="1">
      <alignment horizontal="center"/>
    </xf>
    <xf numFmtId="0" fontId="0" fillId="0" borderId="0" xfId="0" applyNumberFormat="1" applyFont="1"/>
    <xf numFmtId="0" fontId="0" fillId="0" borderId="0" xfId="0" applyFont="1" applyAlignment="1">
      <alignment horizontal="center"/>
    </xf>
    <xf numFmtId="164" fontId="0" fillId="0" borderId="0" xfId="0" applyNumberFormat="1" applyFont="1"/>
    <xf numFmtId="1" fontId="0" fillId="0" borderId="0" xfId="0" applyNumberFormat="1" applyFont="1"/>
    <xf numFmtId="0" fontId="0" fillId="2" borderId="0" xfId="0" applyFill="1"/>
    <xf numFmtId="0" fontId="0" fillId="3" borderId="0" xfId="0" applyFill="1"/>
    <xf numFmtId="0" fontId="4"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113">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numFmt numFmtId="164" formatCode="0.0"/>
    </dxf>
    <dxf>
      <numFmt numFmtId="164" formatCode="0.0"/>
    </dxf>
    <dxf>
      <alignment horizontal="right"/>
    </dxf>
    <dxf>
      <font>
        <sz val="11"/>
      </font>
    </dxf>
    <dxf>
      <font>
        <sz val="11"/>
      </font>
    </dxf>
    <dxf>
      <font>
        <sz val="11"/>
      </font>
    </dxf>
    <dxf>
      <numFmt numFmtId="164" formatCode="0.0"/>
    </dxf>
    <dxf>
      <numFmt numFmtId="164" formatCode="0.0"/>
    </dxf>
    <dxf>
      <alignment horizontal="right"/>
    </dxf>
    <dxf>
      <font>
        <sz val="11"/>
      </font>
    </dxf>
    <dxf>
      <font>
        <sz val="11"/>
      </font>
    </dxf>
    <dxf>
      <font>
        <sz val="11"/>
      </font>
    </dxf>
    <dxf>
      <alignment horizontal="right"/>
    </dxf>
    <dxf>
      <font>
        <sz val="11"/>
      </font>
    </dxf>
    <dxf>
      <font>
        <sz val="11"/>
      </font>
    </dxf>
    <dxf>
      <font>
        <sz val="11"/>
      </font>
    </dxf>
    <dxf>
      <numFmt numFmtId="164" formatCode="0.0"/>
    </dxf>
    <dxf>
      <numFmt numFmtId="164" formatCode="0.0"/>
    </dxf>
    <dxf>
      <alignment horizontal="right"/>
    </dxf>
    <dxf>
      <font>
        <sz val="11"/>
      </font>
    </dxf>
    <dxf>
      <font>
        <sz val="11"/>
      </font>
    </dxf>
    <dxf>
      <font>
        <sz val="11"/>
      </font>
    </dxf>
    <dxf>
      <font>
        <sz val="11"/>
      </font>
    </dxf>
    <dxf>
      <font>
        <sz val="11"/>
      </font>
    </dxf>
    <dxf>
      <font>
        <sz val="11"/>
      </font>
    </dxf>
    <dxf>
      <font>
        <sz val="11"/>
      </font>
    </dxf>
    <dxf>
      <font>
        <sz val="11"/>
      </font>
    </dxf>
    <dxf>
      <font>
        <sz val="11"/>
      </font>
    </dxf>
    <dxf>
      <numFmt numFmtId="164" formatCode="0.0"/>
    </dxf>
    <dxf>
      <numFmt numFmtId="164" formatCode="0.0"/>
    </dxf>
    <dxf>
      <numFmt numFmtId="164" formatCode="0.0"/>
    </dxf>
    <dxf>
      <numFmt numFmtId="164" formatCode="0.0"/>
    </dxf>
    <dxf>
      <numFmt numFmtId="1" formatCode="0"/>
    </dxf>
    <dxf>
      <numFmt numFmtId="1" formatCode="0"/>
    </dxf>
    <dxf>
      <alignment horizontal="right"/>
    </dxf>
    <dxf>
      <alignment horizontal="center"/>
    </dxf>
    <dxf>
      <alignment horizontal="center"/>
    </dxf>
    <dxf>
      <alignment horizontal="center"/>
    </dxf>
    <dxf>
      <alignment horizontal="center"/>
    </dxf>
    <dxf>
      <alignment horizontal="center"/>
    </dxf>
    <dxf>
      <numFmt numFmtId="164" formatCode="0.0"/>
    </dxf>
    <dxf>
      <numFmt numFmtId="164" formatCode="0.0"/>
    </dxf>
    <dxf>
      <numFmt numFmtId="164" formatCode="0.0"/>
    </dxf>
    <dxf>
      <numFmt numFmtId="164" formatCode="0.0"/>
    </dxf>
    <dxf>
      <numFmt numFmtId="1" formatCode="0"/>
    </dxf>
    <dxf>
      <numFmt numFmtId="1" formatCode="0"/>
    </dxf>
    <dxf>
      <alignment horizontal="right"/>
    </dxf>
    <dxf>
      <alignment horizontal="center"/>
    </dxf>
    <dxf>
      <alignment horizontal="center"/>
    </dxf>
    <dxf>
      <alignment horizontal="center"/>
    </dxf>
    <dxf>
      <alignment horizontal="center"/>
    </dxf>
    <dxf>
      <alignment horizontal="center"/>
    </dxf>
    <dxf>
      <numFmt numFmtId="164" formatCode="0.0"/>
    </dxf>
    <dxf>
      <numFmt numFmtId="164" formatCode="0.0"/>
    </dxf>
    <dxf>
      <numFmt numFmtId="164" formatCode="0.0"/>
    </dxf>
    <dxf>
      <numFmt numFmtId="164" formatCode="0.0"/>
    </dxf>
    <dxf>
      <numFmt numFmtId="1" formatCode="0"/>
    </dxf>
    <dxf>
      <numFmt numFmtId="1" formatCode="0"/>
    </dxf>
    <dxf>
      <alignment horizontal="right"/>
    </dxf>
    <dxf>
      <alignment horizontal="center"/>
    </dxf>
    <dxf>
      <alignment horizontal="center"/>
    </dxf>
    <dxf>
      <alignment horizontal="center"/>
    </dxf>
    <dxf>
      <alignment horizontal="center"/>
    </dxf>
    <dxf>
      <alignment horizontal="center"/>
    </dxf>
    <dxf>
      <numFmt numFmtId="164" formatCode="0.0"/>
    </dxf>
    <dxf>
      <numFmt numFmtId="164" formatCode="0.0"/>
    </dxf>
    <dxf>
      <numFmt numFmtId="164" formatCode="0.0"/>
    </dxf>
    <dxf>
      <numFmt numFmtId="164" formatCode="0.0"/>
    </dxf>
    <dxf>
      <numFmt numFmtId="1" formatCode="0"/>
    </dxf>
    <dxf>
      <numFmt numFmtId="1" formatCode="0"/>
    </dxf>
    <dxf>
      <alignment horizontal="right"/>
    </dxf>
    <dxf>
      <alignment horizontal="center"/>
    </dxf>
    <dxf>
      <alignment horizontal="center"/>
    </dxf>
    <dxf>
      <alignment horizontal="center"/>
    </dxf>
    <dxf>
      <alignment horizontal="center"/>
    </dxf>
    <dxf>
      <alignment horizontal="center"/>
    </dxf>
    <dxf>
      <alignment horizontal="right"/>
    </dxf>
    <dxf>
      <alignment horizontal="center"/>
    </dxf>
    <dxf>
      <alignment horizontal="center"/>
    </dxf>
    <dxf>
      <alignment horizontal="center"/>
    </dxf>
    <dxf>
      <alignment horizontal="center"/>
    </dxf>
    <dxf>
      <alignment horizontal="center"/>
    </dxf>
    <dxf>
      <alignment horizontal="right"/>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alignment horizontal="right" vertical="bottom" textRotation="0" wrapText="0" indent="0" justifyLastLine="0" shrinkToFit="0" readingOrder="0"/>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PROJECT.xlsx]PIVOT TABLES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EMPLOYEES VS COUNTRY</a:t>
            </a:r>
          </a:p>
          <a:p>
            <a:pPr>
              <a:defRPr/>
            </a:pPr>
            <a:endParaRPr lang="en-US"/>
          </a:p>
        </c:rich>
      </c:tx>
      <c:layout>
        <c:manualLayout>
          <c:xMode val="edge"/>
          <c:yMode val="edge"/>
          <c:x val="0.17070813648293964"/>
          <c:y val="0.1102084950648774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 '!$B$15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 TABLES '!$A$16:$A$22</c:f>
              <c:strCache>
                <c:ptCount val="6"/>
                <c:pt idx="0">
                  <c:v>Unknown</c:v>
                </c:pt>
                <c:pt idx="1">
                  <c:v>Australia</c:v>
                </c:pt>
                <c:pt idx="2">
                  <c:v>Germany</c:v>
                </c:pt>
                <c:pt idx="3">
                  <c:v>India</c:v>
                </c:pt>
                <c:pt idx="4">
                  <c:v>UK</c:v>
                </c:pt>
                <c:pt idx="5">
                  <c:v>USA</c:v>
                </c:pt>
              </c:strCache>
            </c:strRef>
          </c:cat>
          <c:val>
            <c:numRef>
              <c:f>'PIVOT TABLES '!$B$16:$B$22</c:f>
              <c:numCache>
                <c:formatCode>General</c:formatCode>
                <c:ptCount val="6"/>
                <c:pt idx="0">
                  <c:v>3</c:v>
                </c:pt>
                <c:pt idx="1">
                  <c:v>19</c:v>
                </c:pt>
                <c:pt idx="2">
                  <c:v>22</c:v>
                </c:pt>
                <c:pt idx="3">
                  <c:v>50</c:v>
                </c:pt>
                <c:pt idx="4">
                  <c:v>24</c:v>
                </c:pt>
                <c:pt idx="5">
                  <c:v>21</c:v>
                </c:pt>
              </c:numCache>
            </c:numRef>
          </c:val>
          <c:extLst>
            <c:ext xmlns:c16="http://schemas.microsoft.com/office/drawing/2014/chart" uri="{C3380CC4-5D6E-409C-BE32-E72D297353CC}">
              <c16:uniqueId val="{00000000-C6F1-474E-AA12-AA7323E2CA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PROJECT.xlsx]PIVOT TABLES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DEPARTMENT</a:t>
            </a:r>
            <a:r>
              <a:rPr lang="en-US" sz="1100" baseline="0"/>
              <a:t> VS PERFORMANCE RATING</a:t>
            </a:r>
            <a:endParaRPr lang="en-US" sz="1100"/>
          </a:p>
        </c:rich>
      </c:tx>
      <c:layout>
        <c:manualLayout>
          <c:xMode val="edge"/>
          <c:yMode val="edge"/>
          <c:x val="0.21246818957516239"/>
          <c:y val="0.136399616714577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'!$B$26</c:f>
              <c:strCache>
                <c:ptCount val="1"/>
                <c:pt idx="0">
                  <c:v>Total</c:v>
                </c:pt>
              </c:strCache>
            </c:strRef>
          </c:tx>
          <c:spPr>
            <a:solidFill>
              <a:schemeClr val="accent1"/>
            </a:solidFill>
            <a:ln>
              <a:noFill/>
            </a:ln>
            <a:effectLst/>
          </c:spPr>
          <c:invertIfNegative val="0"/>
          <c:cat>
            <c:strRef>
              <c:f>'PIVOT TABLES '!$A$27:$A$33</c:f>
              <c:strCache>
                <c:ptCount val="6"/>
                <c:pt idx="0">
                  <c:v>Finance</c:v>
                </c:pt>
                <c:pt idx="1">
                  <c:v>HR</c:v>
                </c:pt>
                <c:pt idx="2">
                  <c:v>IT</c:v>
                </c:pt>
                <c:pt idx="3">
                  <c:v>Marketing</c:v>
                </c:pt>
                <c:pt idx="4">
                  <c:v>Sales</c:v>
                </c:pt>
                <c:pt idx="5">
                  <c:v>Unknown</c:v>
                </c:pt>
              </c:strCache>
            </c:strRef>
          </c:cat>
          <c:val>
            <c:numRef>
              <c:f>'PIVOT TABLES '!$B$27:$B$33</c:f>
              <c:numCache>
                <c:formatCode>0.0</c:formatCode>
                <c:ptCount val="6"/>
                <c:pt idx="0">
                  <c:v>43</c:v>
                </c:pt>
                <c:pt idx="1">
                  <c:v>52</c:v>
                </c:pt>
                <c:pt idx="2">
                  <c:v>48</c:v>
                </c:pt>
                <c:pt idx="3">
                  <c:v>81</c:v>
                </c:pt>
                <c:pt idx="4">
                  <c:v>51</c:v>
                </c:pt>
                <c:pt idx="5">
                  <c:v>53</c:v>
                </c:pt>
              </c:numCache>
            </c:numRef>
          </c:val>
          <c:extLst>
            <c:ext xmlns:c16="http://schemas.microsoft.com/office/drawing/2014/chart" uri="{C3380CC4-5D6E-409C-BE32-E72D297353CC}">
              <c16:uniqueId val="{00000000-559D-4E24-BEE2-D961F39E4827}"/>
            </c:ext>
          </c:extLst>
        </c:ser>
        <c:dLbls>
          <c:showLegendKey val="0"/>
          <c:showVal val="0"/>
          <c:showCatName val="0"/>
          <c:showSerName val="0"/>
          <c:showPercent val="0"/>
          <c:showBubbleSize val="0"/>
        </c:dLbls>
        <c:gapWidth val="219"/>
        <c:overlap val="-27"/>
        <c:axId val="961413136"/>
        <c:axId val="961414576"/>
      </c:barChart>
      <c:catAx>
        <c:axId val="96141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414576"/>
        <c:crosses val="autoZero"/>
        <c:auto val="1"/>
        <c:lblAlgn val="ctr"/>
        <c:lblOffset val="100"/>
        <c:noMultiLvlLbl val="0"/>
      </c:catAx>
      <c:valAx>
        <c:axId val="9614145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41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PROJECT.xlsx]PIVOT TABLES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OF JOINING VS COUNT OF EMPLOYEE ID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 '!$A$39:$A$56</c:f>
              <c:multiLvlStrCache>
                <c:ptCount val="13"/>
                <c:lvl>
                  <c:pt idx="0">
                    <c:v>&lt;1/11/2015</c:v>
                  </c:pt>
                  <c:pt idx="1">
                    <c:v>Qtr1</c:v>
                  </c:pt>
                  <c:pt idx="2">
                    <c:v>Qtr2</c:v>
                  </c:pt>
                  <c:pt idx="3">
                    <c:v>Qtr3</c:v>
                  </c:pt>
                  <c:pt idx="4">
                    <c:v>Qtr4</c:v>
                  </c:pt>
                  <c:pt idx="5">
                    <c:v>Qtr1</c:v>
                  </c:pt>
                  <c:pt idx="6">
                    <c:v>Qtr2</c:v>
                  </c:pt>
                  <c:pt idx="7">
                    <c:v>Qtr3</c:v>
                  </c:pt>
                  <c:pt idx="8">
                    <c:v>Qtr4</c:v>
                  </c:pt>
                  <c:pt idx="9">
                    <c:v>Qtr1</c:v>
                  </c:pt>
                  <c:pt idx="10">
                    <c:v>Qtr2</c:v>
                  </c:pt>
                  <c:pt idx="11">
                    <c:v>Qtr3</c:v>
                  </c:pt>
                  <c:pt idx="12">
                    <c:v>Qtr4</c:v>
                  </c:pt>
                </c:lvl>
                <c:lvl>
                  <c:pt idx="0">
                    <c:v>&lt;1/11/2015</c:v>
                  </c:pt>
                  <c:pt idx="1">
                    <c:v>2015</c:v>
                  </c:pt>
                  <c:pt idx="5">
                    <c:v>2016</c:v>
                  </c:pt>
                  <c:pt idx="9">
                    <c:v>2017</c:v>
                  </c:pt>
                </c:lvl>
              </c:multiLvlStrCache>
            </c:multiLvlStrRef>
          </c:cat>
          <c:val>
            <c:numRef>
              <c:f>'PIVOT TABLES '!$B$39:$B$56</c:f>
              <c:numCache>
                <c:formatCode>General</c:formatCode>
                <c:ptCount val="13"/>
                <c:pt idx="0">
                  <c:v>1</c:v>
                </c:pt>
                <c:pt idx="1">
                  <c:v>12</c:v>
                </c:pt>
                <c:pt idx="2">
                  <c:v>12</c:v>
                </c:pt>
                <c:pt idx="3">
                  <c:v>12</c:v>
                </c:pt>
                <c:pt idx="4">
                  <c:v>11</c:v>
                </c:pt>
                <c:pt idx="5">
                  <c:v>12</c:v>
                </c:pt>
                <c:pt idx="6">
                  <c:v>13</c:v>
                </c:pt>
                <c:pt idx="7">
                  <c:v>12</c:v>
                </c:pt>
                <c:pt idx="8">
                  <c:v>12</c:v>
                </c:pt>
                <c:pt idx="9">
                  <c:v>12</c:v>
                </c:pt>
                <c:pt idx="10">
                  <c:v>12</c:v>
                </c:pt>
                <c:pt idx="11">
                  <c:v>11</c:v>
                </c:pt>
                <c:pt idx="12">
                  <c:v>7</c:v>
                </c:pt>
              </c:numCache>
            </c:numRef>
          </c:val>
          <c:smooth val="0"/>
          <c:extLst>
            <c:ext xmlns:c16="http://schemas.microsoft.com/office/drawing/2014/chart" uri="{C3380CC4-5D6E-409C-BE32-E72D297353CC}">
              <c16:uniqueId val="{00000000-883F-49A7-97BA-A76B11938997}"/>
            </c:ext>
          </c:extLst>
        </c:ser>
        <c:dLbls>
          <c:showLegendKey val="0"/>
          <c:showVal val="0"/>
          <c:showCatName val="0"/>
          <c:showSerName val="0"/>
          <c:showPercent val="0"/>
          <c:showBubbleSize val="0"/>
        </c:dLbls>
        <c:marker val="1"/>
        <c:smooth val="0"/>
        <c:axId val="967672672"/>
        <c:axId val="967673152"/>
      </c:lineChart>
      <c:catAx>
        <c:axId val="9676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73152"/>
        <c:crosses val="autoZero"/>
        <c:auto val="1"/>
        <c:lblAlgn val="ctr"/>
        <c:lblOffset val="100"/>
        <c:noMultiLvlLbl val="0"/>
      </c:catAx>
      <c:valAx>
        <c:axId val="96767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7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PROJECT.xlsx]PIVOT TABLES !PivotTable5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'!$B$61:$B$62</c:f>
              <c:strCache>
                <c:ptCount val="1"/>
                <c:pt idx="0">
                  <c:v>Finance</c:v>
                </c:pt>
              </c:strCache>
            </c:strRef>
          </c:tx>
          <c:spPr>
            <a:solidFill>
              <a:schemeClr val="accent1"/>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'!$B$63:$B$69</c:f>
              <c:numCache>
                <c:formatCode>General</c:formatCode>
                <c:ptCount val="6"/>
                <c:pt idx="1">
                  <c:v>137442</c:v>
                </c:pt>
                <c:pt idx="2">
                  <c:v>63184</c:v>
                </c:pt>
                <c:pt idx="3">
                  <c:v>651872</c:v>
                </c:pt>
                <c:pt idx="4">
                  <c:v>212668</c:v>
                </c:pt>
                <c:pt idx="5">
                  <c:v>246925</c:v>
                </c:pt>
              </c:numCache>
            </c:numRef>
          </c:val>
          <c:extLst>
            <c:ext xmlns:c16="http://schemas.microsoft.com/office/drawing/2014/chart" uri="{C3380CC4-5D6E-409C-BE32-E72D297353CC}">
              <c16:uniqueId val="{00000000-871C-4B61-925A-60CEA447BDED}"/>
            </c:ext>
          </c:extLst>
        </c:ser>
        <c:ser>
          <c:idx val="1"/>
          <c:order val="1"/>
          <c:tx>
            <c:strRef>
              <c:f>'PIVOT TABLES '!$C$61:$C$62</c:f>
              <c:strCache>
                <c:ptCount val="1"/>
                <c:pt idx="0">
                  <c:v>HR</c:v>
                </c:pt>
              </c:strCache>
            </c:strRef>
          </c:tx>
          <c:spPr>
            <a:solidFill>
              <a:schemeClr val="accent2"/>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'!$C$63:$C$69</c:f>
              <c:numCache>
                <c:formatCode>General</c:formatCode>
                <c:ptCount val="6"/>
                <c:pt idx="1">
                  <c:v>69420</c:v>
                </c:pt>
                <c:pt idx="2">
                  <c:v>635075</c:v>
                </c:pt>
                <c:pt idx="3">
                  <c:v>503166</c:v>
                </c:pt>
                <c:pt idx="4">
                  <c:v>277315</c:v>
                </c:pt>
                <c:pt idx="5">
                  <c:v>75219</c:v>
                </c:pt>
              </c:numCache>
            </c:numRef>
          </c:val>
          <c:extLst>
            <c:ext xmlns:c16="http://schemas.microsoft.com/office/drawing/2014/chart" uri="{C3380CC4-5D6E-409C-BE32-E72D297353CC}">
              <c16:uniqueId val="{00000007-871C-4B61-925A-60CEA447BDED}"/>
            </c:ext>
          </c:extLst>
        </c:ser>
        <c:ser>
          <c:idx val="2"/>
          <c:order val="2"/>
          <c:tx>
            <c:strRef>
              <c:f>'PIVOT TABLES '!$D$61:$D$62</c:f>
              <c:strCache>
                <c:ptCount val="1"/>
                <c:pt idx="0">
                  <c:v>IT</c:v>
                </c:pt>
              </c:strCache>
            </c:strRef>
          </c:tx>
          <c:spPr>
            <a:solidFill>
              <a:schemeClr val="accent3"/>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'!$D$63:$D$69</c:f>
              <c:numCache>
                <c:formatCode>General</c:formatCode>
                <c:ptCount val="6"/>
                <c:pt idx="1">
                  <c:v>70470</c:v>
                </c:pt>
                <c:pt idx="2">
                  <c:v>291041</c:v>
                </c:pt>
                <c:pt idx="3">
                  <c:v>742378</c:v>
                </c:pt>
                <c:pt idx="4">
                  <c:v>220971</c:v>
                </c:pt>
                <c:pt idx="5">
                  <c:v>262920</c:v>
                </c:pt>
              </c:numCache>
            </c:numRef>
          </c:val>
          <c:extLst>
            <c:ext xmlns:c16="http://schemas.microsoft.com/office/drawing/2014/chart" uri="{C3380CC4-5D6E-409C-BE32-E72D297353CC}">
              <c16:uniqueId val="{00000008-871C-4B61-925A-60CEA447BDED}"/>
            </c:ext>
          </c:extLst>
        </c:ser>
        <c:ser>
          <c:idx val="3"/>
          <c:order val="3"/>
          <c:tx>
            <c:strRef>
              <c:f>'PIVOT TABLES '!$E$61:$E$62</c:f>
              <c:strCache>
                <c:ptCount val="1"/>
                <c:pt idx="0">
                  <c:v>Marketing</c:v>
                </c:pt>
              </c:strCache>
            </c:strRef>
          </c:tx>
          <c:spPr>
            <a:solidFill>
              <a:schemeClr val="accent4"/>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'!$E$63:$E$69</c:f>
              <c:numCache>
                <c:formatCode>General</c:formatCode>
                <c:ptCount val="6"/>
                <c:pt idx="1">
                  <c:v>245325</c:v>
                </c:pt>
                <c:pt idx="2">
                  <c:v>34402</c:v>
                </c:pt>
                <c:pt idx="3">
                  <c:v>744375</c:v>
                </c:pt>
                <c:pt idx="4">
                  <c:v>352568</c:v>
                </c:pt>
                <c:pt idx="5">
                  <c:v>279184</c:v>
                </c:pt>
              </c:numCache>
            </c:numRef>
          </c:val>
          <c:extLst>
            <c:ext xmlns:c16="http://schemas.microsoft.com/office/drawing/2014/chart" uri="{C3380CC4-5D6E-409C-BE32-E72D297353CC}">
              <c16:uniqueId val="{00000009-871C-4B61-925A-60CEA447BDED}"/>
            </c:ext>
          </c:extLst>
        </c:ser>
        <c:ser>
          <c:idx val="4"/>
          <c:order val="4"/>
          <c:tx>
            <c:strRef>
              <c:f>'PIVOT TABLES '!$F$61:$F$62</c:f>
              <c:strCache>
                <c:ptCount val="1"/>
                <c:pt idx="0">
                  <c:v>Sales</c:v>
                </c:pt>
              </c:strCache>
            </c:strRef>
          </c:tx>
          <c:spPr>
            <a:solidFill>
              <a:schemeClr val="accent5"/>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'!$F$63:$F$69</c:f>
              <c:numCache>
                <c:formatCode>General</c:formatCode>
                <c:ptCount val="6"/>
                <c:pt idx="1">
                  <c:v>354767</c:v>
                </c:pt>
                <c:pt idx="2">
                  <c:v>192674</c:v>
                </c:pt>
                <c:pt idx="3">
                  <c:v>726982</c:v>
                </c:pt>
                <c:pt idx="4">
                  <c:v>91620</c:v>
                </c:pt>
                <c:pt idx="5">
                  <c:v>332184</c:v>
                </c:pt>
              </c:numCache>
            </c:numRef>
          </c:val>
          <c:extLst>
            <c:ext xmlns:c16="http://schemas.microsoft.com/office/drawing/2014/chart" uri="{C3380CC4-5D6E-409C-BE32-E72D297353CC}">
              <c16:uniqueId val="{0000000A-871C-4B61-925A-60CEA447BDED}"/>
            </c:ext>
          </c:extLst>
        </c:ser>
        <c:ser>
          <c:idx val="5"/>
          <c:order val="5"/>
          <c:tx>
            <c:strRef>
              <c:f>'PIVOT TABLES '!$G$61:$G$62</c:f>
              <c:strCache>
                <c:ptCount val="1"/>
                <c:pt idx="0">
                  <c:v>Unknown</c:v>
                </c:pt>
              </c:strCache>
            </c:strRef>
          </c:tx>
          <c:spPr>
            <a:solidFill>
              <a:schemeClr val="accent6"/>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'!$G$63:$G$69</c:f>
              <c:numCache>
                <c:formatCode>General</c:formatCode>
                <c:ptCount val="6"/>
                <c:pt idx="0">
                  <c:v>52272</c:v>
                </c:pt>
                <c:pt idx="1">
                  <c:v>293163</c:v>
                </c:pt>
                <c:pt idx="2">
                  <c:v>233365</c:v>
                </c:pt>
                <c:pt idx="3">
                  <c:v>440322</c:v>
                </c:pt>
                <c:pt idx="4">
                  <c:v>332203</c:v>
                </c:pt>
                <c:pt idx="5">
                  <c:v>246420</c:v>
                </c:pt>
              </c:numCache>
            </c:numRef>
          </c:val>
          <c:extLst>
            <c:ext xmlns:c16="http://schemas.microsoft.com/office/drawing/2014/chart" uri="{C3380CC4-5D6E-409C-BE32-E72D297353CC}">
              <c16:uniqueId val="{0000000B-871C-4B61-925A-60CEA447BDED}"/>
            </c:ext>
          </c:extLst>
        </c:ser>
        <c:dLbls>
          <c:showLegendKey val="0"/>
          <c:showVal val="0"/>
          <c:showCatName val="0"/>
          <c:showSerName val="0"/>
          <c:showPercent val="0"/>
          <c:showBubbleSize val="0"/>
        </c:dLbls>
        <c:gapWidth val="182"/>
        <c:axId val="1054807344"/>
        <c:axId val="1054803984"/>
      </c:barChart>
      <c:catAx>
        <c:axId val="105480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803984"/>
        <c:crosses val="autoZero"/>
        <c:auto val="1"/>
        <c:lblAlgn val="ctr"/>
        <c:lblOffset val="100"/>
        <c:noMultiLvlLbl val="0"/>
      </c:catAx>
      <c:valAx>
        <c:axId val="1054803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80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PROJECT.xlsx]PIVOT TABLES !PivotTable1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SALARY BY DEPARTMENT VS GENDER</a:t>
            </a:r>
          </a:p>
          <a:p>
            <a:pPr>
              <a:defRPr/>
            </a:pPr>
            <a:r>
              <a:rPr lang="en-US"/>
              <a:t> </a:t>
            </a:r>
          </a:p>
        </c:rich>
      </c:tx>
      <c:layout>
        <c:manualLayout>
          <c:xMode val="edge"/>
          <c:yMode val="edge"/>
          <c:x val="0.45333172639134395"/>
          <c:y val="0.10165538913124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'!$B$3:$B$4</c:f>
              <c:strCache>
                <c:ptCount val="1"/>
                <c:pt idx="0">
                  <c:v>Female</c:v>
                </c:pt>
              </c:strCache>
            </c:strRef>
          </c:tx>
          <c:spPr>
            <a:solidFill>
              <a:schemeClr val="accent1"/>
            </a:solidFill>
            <a:ln>
              <a:noFill/>
            </a:ln>
            <a:effectLst/>
            <a:sp3d/>
          </c:spPr>
          <c:invertIfNegative val="0"/>
          <c:cat>
            <c:strRef>
              <c:f>'PIVOT TABLES '!$A$5:$A$11</c:f>
              <c:strCache>
                <c:ptCount val="6"/>
                <c:pt idx="0">
                  <c:v>Finance</c:v>
                </c:pt>
                <c:pt idx="1">
                  <c:v>HR</c:v>
                </c:pt>
                <c:pt idx="2">
                  <c:v>IT</c:v>
                </c:pt>
                <c:pt idx="3">
                  <c:v>Marketing</c:v>
                </c:pt>
                <c:pt idx="4">
                  <c:v>Sales</c:v>
                </c:pt>
                <c:pt idx="5">
                  <c:v>Unknown</c:v>
                </c:pt>
              </c:strCache>
            </c:strRef>
          </c:cat>
          <c:val>
            <c:numRef>
              <c:f>'PIVOT TABLES '!$B$5:$B$11</c:f>
              <c:numCache>
                <c:formatCode>General</c:formatCode>
                <c:ptCount val="6"/>
                <c:pt idx="0">
                  <c:v>97599</c:v>
                </c:pt>
                <c:pt idx="1">
                  <c:v>262441</c:v>
                </c:pt>
                <c:pt idx="2">
                  <c:v>530948</c:v>
                </c:pt>
                <c:pt idx="3">
                  <c:v>290007</c:v>
                </c:pt>
                <c:pt idx="4">
                  <c:v>475119</c:v>
                </c:pt>
                <c:pt idx="5">
                  <c:v>365275</c:v>
                </c:pt>
              </c:numCache>
            </c:numRef>
          </c:val>
          <c:extLst>
            <c:ext xmlns:c16="http://schemas.microsoft.com/office/drawing/2014/chart" uri="{C3380CC4-5D6E-409C-BE32-E72D297353CC}">
              <c16:uniqueId val="{00000000-51B7-4FD0-8A98-37FA4F1F21E2}"/>
            </c:ext>
          </c:extLst>
        </c:ser>
        <c:ser>
          <c:idx val="1"/>
          <c:order val="1"/>
          <c:tx>
            <c:strRef>
              <c:f>'PIVOT TABLES '!$C$3:$C$4</c:f>
              <c:strCache>
                <c:ptCount val="1"/>
                <c:pt idx="0">
                  <c:v>Male</c:v>
                </c:pt>
              </c:strCache>
            </c:strRef>
          </c:tx>
          <c:spPr>
            <a:solidFill>
              <a:schemeClr val="accent2"/>
            </a:solidFill>
            <a:ln>
              <a:noFill/>
            </a:ln>
            <a:effectLst/>
            <a:sp3d/>
          </c:spPr>
          <c:invertIfNegative val="0"/>
          <c:cat>
            <c:strRef>
              <c:f>'PIVOT TABLES '!$A$5:$A$11</c:f>
              <c:strCache>
                <c:ptCount val="6"/>
                <c:pt idx="0">
                  <c:v>Finance</c:v>
                </c:pt>
                <c:pt idx="1">
                  <c:v>HR</c:v>
                </c:pt>
                <c:pt idx="2">
                  <c:v>IT</c:v>
                </c:pt>
                <c:pt idx="3">
                  <c:v>Marketing</c:v>
                </c:pt>
                <c:pt idx="4">
                  <c:v>Sales</c:v>
                </c:pt>
                <c:pt idx="5">
                  <c:v>Unknown</c:v>
                </c:pt>
              </c:strCache>
            </c:strRef>
          </c:cat>
          <c:val>
            <c:numRef>
              <c:f>'PIVOT TABLES '!$C$5:$C$11</c:f>
              <c:numCache>
                <c:formatCode>General</c:formatCode>
                <c:ptCount val="6"/>
                <c:pt idx="0">
                  <c:v>125421</c:v>
                </c:pt>
                <c:pt idx="1">
                  <c:v>458095</c:v>
                </c:pt>
                <c:pt idx="2">
                  <c:v>617240</c:v>
                </c:pt>
                <c:pt idx="3">
                  <c:v>191535</c:v>
                </c:pt>
                <c:pt idx="4">
                  <c:v>434712</c:v>
                </c:pt>
                <c:pt idx="5">
                  <c:v>327919</c:v>
                </c:pt>
              </c:numCache>
            </c:numRef>
          </c:val>
          <c:extLst>
            <c:ext xmlns:c16="http://schemas.microsoft.com/office/drawing/2014/chart" uri="{C3380CC4-5D6E-409C-BE32-E72D297353CC}">
              <c16:uniqueId val="{00000001-51B7-4FD0-8A98-37FA4F1F21E2}"/>
            </c:ext>
          </c:extLst>
        </c:ser>
        <c:ser>
          <c:idx val="2"/>
          <c:order val="2"/>
          <c:tx>
            <c:strRef>
              <c:f>'PIVOT TABLES '!$D$3:$D$4</c:f>
              <c:strCache>
                <c:ptCount val="1"/>
                <c:pt idx="0">
                  <c:v>Other</c:v>
                </c:pt>
              </c:strCache>
            </c:strRef>
          </c:tx>
          <c:spPr>
            <a:solidFill>
              <a:schemeClr val="accent3"/>
            </a:solidFill>
            <a:ln>
              <a:noFill/>
            </a:ln>
            <a:effectLst/>
            <a:sp3d/>
          </c:spPr>
          <c:invertIfNegative val="0"/>
          <c:cat>
            <c:strRef>
              <c:f>'PIVOT TABLES '!$A$5:$A$11</c:f>
              <c:strCache>
                <c:ptCount val="6"/>
                <c:pt idx="0">
                  <c:v>Finance</c:v>
                </c:pt>
                <c:pt idx="1">
                  <c:v>HR</c:v>
                </c:pt>
                <c:pt idx="2">
                  <c:v>IT</c:v>
                </c:pt>
                <c:pt idx="3">
                  <c:v>Marketing</c:v>
                </c:pt>
                <c:pt idx="4">
                  <c:v>Sales</c:v>
                </c:pt>
                <c:pt idx="5">
                  <c:v>Unknown</c:v>
                </c:pt>
              </c:strCache>
            </c:strRef>
          </c:cat>
          <c:val>
            <c:numRef>
              <c:f>'PIVOT TABLES '!$D$5:$D$11</c:f>
              <c:numCache>
                <c:formatCode>General</c:formatCode>
                <c:ptCount val="6"/>
                <c:pt idx="0">
                  <c:v>468788</c:v>
                </c:pt>
                <c:pt idx="1">
                  <c:v>436781</c:v>
                </c:pt>
                <c:pt idx="2">
                  <c:v>226592</c:v>
                </c:pt>
                <c:pt idx="3">
                  <c:v>595664</c:v>
                </c:pt>
                <c:pt idx="4">
                  <c:v>261842</c:v>
                </c:pt>
                <c:pt idx="5">
                  <c:v>202530</c:v>
                </c:pt>
              </c:numCache>
            </c:numRef>
          </c:val>
          <c:extLst>
            <c:ext xmlns:c16="http://schemas.microsoft.com/office/drawing/2014/chart" uri="{C3380CC4-5D6E-409C-BE32-E72D297353CC}">
              <c16:uniqueId val="{00000002-51B7-4FD0-8A98-37FA4F1F21E2}"/>
            </c:ext>
          </c:extLst>
        </c:ser>
        <c:ser>
          <c:idx val="3"/>
          <c:order val="3"/>
          <c:tx>
            <c:strRef>
              <c:f>'PIVOT TABLES '!$E$3:$E$4</c:f>
              <c:strCache>
                <c:ptCount val="1"/>
                <c:pt idx="0">
                  <c:v>Unknown</c:v>
                </c:pt>
              </c:strCache>
            </c:strRef>
          </c:tx>
          <c:spPr>
            <a:solidFill>
              <a:schemeClr val="accent4"/>
            </a:solidFill>
            <a:ln>
              <a:noFill/>
            </a:ln>
            <a:effectLst/>
            <a:sp3d/>
          </c:spPr>
          <c:invertIfNegative val="0"/>
          <c:cat>
            <c:strRef>
              <c:f>'PIVOT TABLES '!$A$5:$A$11</c:f>
              <c:strCache>
                <c:ptCount val="6"/>
                <c:pt idx="0">
                  <c:v>Finance</c:v>
                </c:pt>
                <c:pt idx="1">
                  <c:v>HR</c:v>
                </c:pt>
                <c:pt idx="2">
                  <c:v>IT</c:v>
                </c:pt>
                <c:pt idx="3">
                  <c:v>Marketing</c:v>
                </c:pt>
                <c:pt idx="4">
                  <c:v>Sales</c:v>
                </c:pt>
                <c:pt idx="5">
                  <c:v>Unknown</c:v>
                </c:pt>
              </c:strCache>
            </c:strRef>
          </c:cat>
          <c:val>
            <c:numRef>
              <c:f>'PIVOT TABLES '!$E$5:$E$11</c:f>
              <c:numCache>
                <c:formatCode>General</c:formatCode>
                <c:ptCount val="6"/>
                <c:pt idx="0">
                  <c:v>620283</c:v>
                </c:pt>
                <c:pt idx="1">
                  <c:v>402878</c:v>
                </c:pt>
                <c:pt idx="2">
                  <c:v>213000</c:v>
                </c:pt>
                <c:pt idx="3">
                  <c:v>578648</c:v>
                </c:pt>
                <c:pt idx="4">
                  <c:v>446972</c:v>
                </c:pt>
                <c:pt idx="5">
                  <c:v>671335</c:v>
                </c:pt>
              </c:numCache>
            </c:numRef>
          </c:val>
          <c:extLst>
            <c:ext xmlns:c16="http://schemas.microsoft.com/office/drawing/2014/chart" uri="{C3380CC4-5D6E-409C-BE32-E72D297353CC}">
              <c16:uniqueId val="{00000003-51B7-4FD0-8A98-37FA4F1F21E2}"/>
            </c:ext>
          </c:extLst>
        </c:ser>
        <c:dLbls>
          <c:showLegendKey val="0"/>
          <c:showVal val="0"/>
          <c:showCatName val="0"/>
          <c:showSerName val="0"/>
          <c:showPercent val="0"/>
          <c:showBubbleSize val="0"/>
        </c:dLbls>
        <c:gapWidth val="150"/>
        <c:shape val="box"/>
        <c:axId val="933638576"/>
        <c:axId val="933635696"/>
        <c:axId val="0"/>
      </c:bar3DChart>
      <c:catAx>
        <c:axId val="933638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35696"/>
        <c:crosses val="autoZero"/>
        <c:auto val="1"/>
        <c:lblAlgn val="ctr"/>
        <c:lblOffset val="100"/>
        <c:noMultiLvlLbl val="0"/>
      </c:catAx>
      <c:valAx>
        <c:axId val="93363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3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PROJECT.xlsx]PIVOT TABLES !PivotTable1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SALARY BY DEPARTMENT VS GENDER</a:t>
            </a:r>
          </a:p>
          <a:p>
            <a:pPr>
              <a:defRPr/>
            </a:pPr>
            <a:r>
              <a:rPr lang="en-US"/>
              <a:t> </a:t>
            </a:r>
          </a:p>
        </c:rich>
      </c:tx>
      <c:layout>
        <c:manualLayout>
          <c:xMode val="edge"/>
          <c:yMode val="edge"/>
          <c:x val="0.45333172639134395"/>
          <c:y val="0.10165538913124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'!$B$3:$B$4</c:f>
              <c:strCache>
                <c:ptCount val="1"/>
                <c:pt idx="0">
                  <c:v>Female</c:v>
                </c:pt>
              </c:strCache>
            </c:strRef>
          </c:tx>
          <c:spPr>
            <a:solidFill>
              <a:schemeClr val="accent1"/>
            </a:solidFill>
            <a:ln>
              <a:noFill/>
            </a:ln>
            <a:effectLst/>
            <a:sp3d/>
          </c:spPr>
          <c:invertIfNegative val="0"/>
          <c:cat>
            <c:strRef>
              <c:f>'PIVOT TABLES '!$A$5:$A$11</c:f>
              <c:strCache>
                <c:ptCount val="6"/>
                <c:pt idx="0">
                  <c:v>Finance</c:v>
                </c:pt>
                <c:pt idx="1">
                  <c:v>HR</c:v>
                </c:pt>
                <c:pt idx="2">
                  <c:v>IT</c:v>
                </c:pt>
                <c:pt idx="3">
                  <c:v>Marketing</c:v>
                </c:pt>
                <c:pt idx="4">
                  <c:v>Sales</c:v>
                </c:pt>
                <c:pt idx="5">
                  <c:v>Unknown</c:v>
                </c:pt>
              </c:strCache>
            </c:strRef>
          </c:cat>
          <c:val>
            <c:numRef>
              <c:f>'PIVOT TABLES '!$B$5:$B$11</c:f>
              <c:numCache>
                <c:formatCode>General</c:formatCode>
                <c:ptCount val="6"/>
                <c:pt idx="0">
                  <c:v>97599</c:v>
                </c:pt>
                <c:pt idx="1">
                  <c:v>262441</c:v>
                </c:pt>
                <c:pt idx="2">
                  <c:v>530948</c:v>
                </c:pt>
                <c:pt idx="3">
                  <c:v>290007</c:v>
                </c:pt>
                <c:pt idx="4">
                  <c:v>475119</c:v>
                </c:pt>
                <c:pt idx="5">
                  <c:v>365275</c:v>
                </c:pt>
              </c:numCache>
            </c:numRef>
          </c:val>
          <c:extLst>
            <c:ext xmlns:c16="http://schemas.microsoft.com/office/drawing/2014/chart" uri="{C3380CC4-5D6E-409C-BE32-E72D297353CC}">
              <c16:uniqueId val="{00000000-53C1-4E2B-B686-78EF97D7533F}"/>
            </c:ext>
          </c:extLst>
        </c:ser>
        <c:ser>
          <c:idx val="1"/>
          <c:order val="1"/>
          <c:tx>
            <c:strRef>
              <c:f>'PIVOT TABLES '!$C$3:$C$4</c:f>
              <c:strCache>
                <c:ptCount val="1"/>
                <c:pt idx="0">
                  <c:v>Male</c:v>
                </c:pt>
              </c:strCache>
            </c:strRef>
          </c:tx>
          <c:spPr>
            <a:solidFill>
              <a:schemeClr val="accent2"/>
            </a:solidFill>
            <a:ln>
              <a:noFill/>
            </a:ln>
            <a:effectLst/>
            <a:sp3d/>
          </c:spPr>
          <c:invertIfNegative val="0"/>
          <c:cat>
            <c:strRef>
              <c:f>'PIVOT TABLES '!$A$5:$A$11</c:f>
              <c:strCache>
                <c:ptCount val="6"/>
                <c:pt idx="0">
                  <c:v>Finance</c:v>
                </c:pt>
                <c:pt idx="1">
                  <c:v>HR</c:v>
                </c:pt>
                <c:pt idx="2">
                  <c:v>IT</c:v>
                </c:pt>
                <c:pt idx="3">
                  <c:v>Marketing</c:v>
                </c:pt>
                <c:pt idx="4">
                  <c:v>Sales</c:v>
                </c:pt>
                <c:pt idx="5">
                  <c:v>Unknown</c:v>
                </c:pt>
              </c:strCache>
            </c:strRef>
          </c:cat>
          <c:val>
            <c:numRef>
              <c:f>'PIVOT TABLES '!$C$5:$C$11</c:f>
              <c:numCache>
                <c:formatCode>General</c:formatCode>
                <c:ptCount val="6"/>
                <c:pt idx="0">
                  <c:v>125421</c:v>
                </c:pt>
                <c:pt idx="1">
                  <c:v>458095</c:v>
                </c:pt>
                <c:pt idx="2">
                  <c:v>617240</c:v>
                </c:pt>
                <c:pt idx="3">
                  <c:v>191535</c:v>
                </c:pt>
                <c:pt idx="4">
                  <c:v>434712</c:v>
                </c:pt>
                <c:pt idx="5">
                  <c:v>327919</c:v>
                </c:pt>
              </c:numCache>
            </c:numRef>
          </c:val>
          <c:extLst>
            <c:ext xmlns:c16="http://schemas.microsoft.com/office/drawing/2014/chart" uri="{C3380CC4-5D6E-409C-BE32-E72D297353CC}">
              <c16:uniqueId val="{00000001-53C1-4E2B-B686-78EF97D7533F}"/>
            </c:ext>
          </c:extLst>
        </c:ser>
        <c:ser>
          <c:idx val="2"/>
          <c:order val="2"/>
          <c:tx>
            <c:strRef>
              <c:f>'PIVOT TABLES '!$D$3:$D$4</c:f>
              <c:strCache>
                <c:ptCount val="1"/>
                <c:pt idx="0">
                  <c:v>Other</c:v>
                </c:pt>
              </c:strCache>
            </c:strRef>
          </c:tx>
          <c:spPr>
            <a:solidFill>
              <a:schemeClr val="accent3"/>
            </a:solidFill>
            <a:ln>
              <a:noFill/>
            </a:ln>
            <a:effectLst/>
            <a:sp3d/>
          </c:spPr>
          <c:invertIfNegative val="0"/>
          <c:cat>
            <c:strRef>
              <c:f>'PIVOT TABLES '!$A$5:$A$11</c:f>
              <c:strCache>
                <c:ptCount val="6"/>
                <c:pt idx="0">
                  <c:v>Finance</c:v>
                </c:pt>
                <c:pt idx="1">
                  <c:v>HR</c:v>
                </c:pt>
                <c:pt idx="2">
                  <c:v>IT</c:v>
                </c:pt>
                <c:pt idx="3">
                  <c:v>Marketing</c:v>
                </c:pt>
                <c:pt idx="4">
                  <c:v>Sales</c:v>
                </c:pt>
                <c:pt idx="5">
                  <c:v>Unknown</c:v>
                </c:pt>
              </c:strCache>
            </c:strRef>
          </c:cat>
          <c:val>
            <c:numRef>
              <c:f>'PIVOT TABLES '!$D$5:$D$11</c:f>
              <c:numCache>
                <c:formatCode>General</c:formatCode>
                <c:ptCount val="6"/>
                <c:pt idx="0">
                  <c:v>468788</c:v>
                </c:pt>
                <c:pt idx="1">
                  <c:v>436781</c:v>
                </c:pt>
                <c:pt idx="2">
                  <c:v>226592</c:v>
                </c:pt>
                <c:pt idx="3">
                  <c:v>595664</c:v>
                </c:pt>
                <c:pt idx="4">
                  <c:v>261842</c:v>
                </c:pt>
                <c:pt idx="5">
                  <c:v>202530</c:v>
                </c:pt>
              </c:numCache>
            </c:numRef>
          </c:val>
          <c:extLst>
            <c:ext xmlns:c16="http://schemas.microsoft.com/office/drawing/2014/chart" uri="{C3380CC4-5D6E-409C-BE32-E72D297353CC}">
              <c16:uniqueId val="{00000002-53C1-4E2B-B686-78EF97D7533F}"/>
            </c:ext>
          </c:extLst>
        </c:ser>
        <c:ser>
          <c:idx val="3"/>
          <c:order val="3"/>
          <c:tx>
            <c:strRef>
              <c:f>'PIVOT TABLES '!$E$3:$E$4</c:f>
              <c:strCache>
                <c:ptCount val="1"/>
                <c:pt idx="0">
                  <c:v>Unknown</c:v>
                </c:pt>
              </c:strCache>
            </c:strRef>
          </c:tx>
          <c:spPr>
            <a:solidFill>
              <a:schemeClr val="accent4"/>
            </a:solidFill>
            <a:ln>
              <a:noFill/>
            </a:ln>
            <a:effectLst/>
            <a:sp3d/>
          </c:spPr>
          <c:invertIfNegative val="0"/>
          <c:cat>
            <c:strRef>
              <c:f>'PIVOT TABLES '!$A$5:$A$11</c:f>
              <c:strCache>
                <c:ptCount val="6"/>
                <c:pt idx="0">
                  <c:v>Finance</c:v>
                </c:pt>
                <c:pt idx="1">
                  <c:v>HR</c:v>
                </c:pt>
                <c:pt idx="2">
                  <c:v>IT</c:v>
                </c:pt>
                <c:pt idx="3">
                  <c:v>Marketing</c:v>
                </c:pt>
                <c:pt idx="4">
                  <c:v>Sales</c:v>
                </c:pt>
                <c:pt idx="5">
                  <c:v>Unknown</c:v>
                </c:pt>
              </c:strCache>
            </c:strRef>
          </c:cat>
          <c:val>
            <c:numRef>
              <c:f>'PIVOT TABLES '!$E$5:$E$11</c:f>
              <c:numCache>
                <c:formatCode>General</c:formatCode>
                <c:ptCount val="6"/>
                <c:pt idx="0">
                  <c:v>620283</c:v>
                </c:pt>
                <c:pt idx="1">
                  <c:v>402878</c:v>
                </c:pt>
                <c:pt idx="2">
                  <c:v>213000</c:v>
                </c:pt>
                <c:pt idx="3">
                  <c:v>578648</c:v>
                </c:pt>
                <c:pt idx="4">
                  <c:v>446972</c:v>
                </c:pt>
                <c:pt idx="5">
                  <c:v>671335</c:v>
                </c:pt>
              </c:numCache>
            </c:numRef>
          </c:val>
          <c:extLst>
            <c:ext xmlns:c16="http://schemas.microsoft.com/office/drawing/2014/chart" uri="{C3380CC4-5D6E-409C-BE32-E72D297353CC}">
              <c16:uniqueId val="{00000003-53C1-4E2B-B686-78EF97D7533F}"/>
            </c:ext>
          </c:extLst>
        </c:ser>
        <c:dLbls>
          <c:showLegendKey val="0"/>
          <c:showVal val="0"/>
          <c:showCatName val="0"/>
          <c:showSerName val="0"/>
          <c:showPercent val="0"/>
          <c:showBubbleSize val="0"/>
        </c:dLbls>
        <c:gapWidth val="150"/>
        <c:shape val="box"/>
        <c:axId val="933638576"/>
        <c:axId val="933635696"/>
        <c:axId val="0"/>
      </c:bar3DChart>
      <c:catAx>
        <c:axId val="933638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35696"/>
        <c:crosses val="autoZero"/>
        <c:auto val="1"/>
        <c:lblAlgn val="ctr"/>
        <c:lblOffset val="100"/>
        <c:noMultiLvlLbl val="0"/>
      </c:catAx>
      <c:valAx>
        <c:axId val="93363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3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PROJECT.xlsx]PIVOT TABLES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EMPLOYEES VS COUNTRY</a:t>
            </a:r>
          </a:p>
          <a:p>
            <a:pPr>
              <a:defRPr/>
            </a:pPr>
            <a:endParaRPr lang="en-US"/>
          </a:p>
        </c:rich>
      </c:tx>
      <c:layout>
        <c:manualLayout>
          <c:xMode val="edge"/>
          <c:yMode val="edge"/>
          <c:x val="0.17070813648293964"/>
          <c:y val="0.1102084950648774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 '!$B$15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2F-48ED-9FE6-12826C5DE7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2F-48ED-9FE6-12826C5DE7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2F-48ED-9FE6-12826C5DE7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2F-48ED-9FE6-12826C5DE7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2F-48ED-9FE6-12826C5DE7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2F-48ED-9FE6-12826C5DE792}"/>
              </c:ext>
            </c:extLst>
          </c:dPt>
          <c:cat>
            <c:strRef>
              <c:f>'PIVOT TABLES '!$A$16:$A$22</c:f>
              <c:strCache>
                <c:ptCount val="6"/>
                <c:pt idx="0">
                  <c:v>Unknown</c:v>
                </c:pt>
                <c:pt idx="1">
                  <c:v>Australia</c:v>
                </c:pt>
                <c:pt idx="2">
                  <c:v>Germany</c:v>
                </c:pt>
                <c:pt idx="3">
                  <c:v>India</c:v>
                </c:pt>
                <c:pt idx="4">
                  <c:v>UK</c:v>
                </c:pt>
                <c:pt idx="5">
                  <c:v>USA</c:v>
                </c:pt>
              </c:strCache>
            </c:strRef>
          </c:cat>
          <c:val>
            <c:numRef>
              <c:f>'PIVOT TABLES '!$B$16:$B$22</c:f>
              <c:numCache>
                <c:formatCode>General</c:formatCode>
                <c:ptCount val="6"/>
                <c:pt idx="0">
                  <c:v>3</c:v>
                </c:pt>
                <c:pt idx="1">
                  <c:v>19</c:v>
                </c:pt>
                <c:pt idx="2">
                  <c:v>22</c:v>
                </c:pt>
                <c:pt idx="3">
                  <c:v>50</c:v>
                </c:pt>
                <c:pt idx="4">
                  <c:v>24</c:v>
                </c:pt>
                <c:pt idx="5">
                  <c:v>21</c:v>
                </c:pt>
              </c:numCache>
            </c:numRef>
          </c:val>
          <c:extLst>
            <c:ext xmlns:c16="http://schemas.microsoft.com/office/drawing/2014/chart" uri="{C3380CC4-5D6E-409C-BE32-E72D297353CC}">
              <c16:uniqueId val="{0000000C-A42F-48ED-9FE6-12826C5DE79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PROJECT.xlsx]PIVOT TABLES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DEPARTMENT</a:t>
            </a:r>
            <a:r>
              <a:rPr lang="en-US" sz="1100" baseline="0"/>
              <a:t> VS PERFORMANCE RATING</a:t>
            </a:r>
            <a:endParaRPr lang="en-US" sz="1100"/>
          </a:p>
        </c:rich>
      </c:tx>
      <c:layout>
        <c:manualLayout>
          <c:xMode val="edge"/>
          <c:yMode val="edge"/>
          <c:x val="0.21246818957516239"/>
          <c:y val="0.136399616714577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63857369539834"/>
          <c:y val="0.27131912390261564"/>
          <c:w val="0.72281094378411825"/>
          <c:h val="0.44765906416870305"/>
        </c:manualLayout>
      </c:layout>
      <c:barChart>
        <c:barDir val="col"/>
        <c:grouping val="clustered"/>
        <c:varyColors val="0"/>
        <c:ser>
          <c:idx val="0"/>
          <c:order val="0"/>
          <c:tx>
            <c:strRef>
              <c:f>'PIVOT TABLES '!$B$26</c:f>
              <c:strCache>
                <c:ptCount val="1"/>
                <c:pt idx="0">
                  <c:v>Total</c:v>
                </c:pt>
              </c:strCache>
            </c:strRef>
          </c:tx>
          <c:spPr>
            <a:solidFill>
              <a:schemeClr val="accent1"/>
            </a:solidFill>
            <a:ln>
              <a:noFill/>
            </a:ln>
            <a:effectLst/>
          </c:spPr>
          <c:invertIfNegative val="0"/>
          <c:cat>
            <c:strRef>
              <c:f>'PIVOT TABLES '!$A$27:$A$33</c:f>
              <c:strCache>
                <c:ptCount val="6"/>
                <c:pt idx="0">
                  <c:v>Finance</c:v>
                </c:pt>
                <c:pt idx="1">
                  <c:v>HR</c:v>
                </c:pt>
                <c:pt idx="2">
                  <c:v>IT</c:v>
                </c:pt>
                <c:pt idx="3">
                  <c:v>Marketing</c:v>
                </c:pt>
                <c:pt idx="4">
                  <c:v>Sales</c:v>
                </c:pt>
                <c:pt idx="5">
                  <c:v>Unknown</c:v>
                </c:pt>
              </c:strCache>
            </c:strRef>
          </c:cat>
          <c:val>
            <c:numRef>
              <c:f>'PIVOT TABLES '!$B$27:$B$33</c:f>
              <c:numCache>
                <c:formatCode>0.0</c:formatCode>
                <c:ptCount val="6"/>
                <c:pt idx="0">
                  <c:v>43</c:v>
                </c:pt>
                <c:pt idx="1">
                  <c:v>52</c:v>
                </c:pt>
                <c:pt idx="2">
                  <c:v>48</c:v>
                </c:pt>
                <c:pt idx="3">
                  <c:v>81</c:v>
                </c:pt>
                <c:pt idx="4">
                  <c:v>51</c:v>
                </c:pt>
                <c:pt idx="5">
                  <c:v>53</c:v>
                </c:pt>
              </c:numCache>
            </c:numRef>
          </c:val>
          <c:extLst>
            <c:ext xmlns:c16="http://schemas.microsoft.com/office/drawing/2014/chart" uri="{C3380CC4-5D6E-409C-BE32-E72D297353CC}">
              <c16:uniqueId val="{00000000-614F-4FD2-B701-4AFE746F8678}"/>
            </c:ext>
          </c:extLst>
        </c:ser>
        <c:dLbls>
          <c:showLegendKey val="0"/>
          <c:showVal val="0"/>
          <c:showCatName val="0"/>
          <c:showSerName val="0"/>
          <c:showPercent val="0"/>
          <c:showBubbleSize val="0"/>
        </c:dLbls>
        <c:gapWidth val="219"/>
        <c:overlap val="-27"/>
        <c:axId val="961413136"/>
        <c:axId val="961414576"/>
      </c:barChart>
      <c:catAx>
        <c:axId val="96141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414576"/>
        <c:crosses val="autoZero"/>
        <c:auto val="1"/>
        <c:lblAlgn val="ctr"/>
        <c:lblOffset val="100"/>
        <c:noMultiLvlLbl val="0"/>
      </c:catAx>
      <c:valAx>
        <c:axId val="9614145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41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PROJECT.xlsx]PIVOT TABLES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OF JOINING VS COUNT OF EMPLOYEE ID</a:t>
            </a:r>
          </a:p>
          <a:p>
            <a:pPr>
              <a:defRPr/>
            </a:pPr>
            <a:endParaRPr lang="en-US"/>
          </a:p>
        </c:rich>
      </c:tx>
      <c:layout>
        <c:manualLayout>
          <c:xMode val="edge"/>
          <c:yMode val="edge"/>
          <c:x val="0.17359596354803478"/>
          <c:y val="7.771871155699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 '!$A$39:$A$56</c:f>
              <c:multiLvlStrCache>
                <c:ptCount val="13"/>
                <c:lvl>
                  <c:pt idx="0">
                    <c:v>&lt;1/11/2015</c:v>
                  </c:pt>
                  <c:pt idx="1">
                    <c:v>Qtr1</c:v>
                  </c:pt>
                  <c:pt idx="2">
                    <c:v>Qtr2</c:v>
                  </c:pt>
                  <c:pt idx="3">
                    <c:v>Qtr3</c:v>
                  </c:pt>
                  <c:pt idx="4">
                    <c:v>Qtr4</c:v>
                  </c:pt>
                  <c:pt idx="5">
                    <c:v>Qtr1</c:v>
                  </c:pt>
                  <c:pt idx="6">
                    <c:v>Qtr2</c:v>
                  </c:pt>
                  <c:pt idx="7">
                    <c:v>Qtr3</c:v>
                  </c:pt>
                  <c:pt idx="8">
                    <c:v>Qtr4</c:v>
                  </c:pt>
                  <c:pt idx="9">
                    <c:v>Qtr1</c:v>
                  </c:pt>
                  <c:pt idx="10">
                    <c:v>Qtr2</c:v>
                  </c:pt>
                  <c:pt idx="11">
                    <c:v>Qtr3</c:v>
                  </c:pt>
                  <c:pt idx="12">
                    <c:v>Qtr4</c:v>
                  </c:pt>
                </c:lvl>
                <c:lvl>
                  <c:pt idx="0">
                    <c:v>&lt;1/11/2015</c:v>
                  </c:pt>
                  <c:pt idx="1">
                    <c:v>2015</c:v>
                  </c:pt>
                  <c:pt idx="5">
                    <c:v>2016</c:v>
                  </c:pt>
                  <c:pt idx="9">
                    <c:v>2017</c:v>
                  </c:pt>
                </c:lvl>
              </c:multiLvlStrCache>
            </c:multiLvlStrRef>
          </c:cat>
          <c:val>
            <c:numRef>
              <c:f>'PIVOT TABLES '!$B$39:$B$56</c:f>
              <c:numCache>
                <c:formatCode>General</c:formatCode>
                <c:ptCount val="13"/>
                <c:pt idx="0">
                  <c:v>1</c:v>
                </c:pt>
                <c:pt idx="1">
                  <c:v>12</c:v>
                </c:pt>
                <c:pt idx="2">
                  <c:v>12</c:v>
                </c:pt>
                <c:pt idx="3">
                  <c:v>12</c:v>
                </c:pt>
                <c:pt idx="4">
                  <c:v>11</c:v>
                </c:pt>
                <c:pt idx="5">
                  <c:v>12</c:v>
                </c:pt>
                <c:pt idx="6">
                  <c:v>13</c:v>
                </c:pt>
                <c:pt idx="7">
                  <c:v>12</c:v>
                </c:pt>
                <c:pt idx="8">
                  <c:v>12</c:v>
                </c:pt>
                <c:pt idx="9">
                  <c:v>12</c:v>
                </c:pt>
                <c:pt idx="10">
                  <c:v>12</c:v>
                </c:pt>
                <c:pt idx="11">
                  <c:v>11</c:v>
                </c:pt>
                <c:pt idx="12">
                  <c:v>7</c:v>
                </c:pt>
              </c:numCache>
            </c:numRef>
          </c:val>
          <c:smooth val="0"/>
          <c:extLst>
            <c:ext xmlns:c16="http://schemas.microsoft.com/office/drawing/2014/chart" uri="{C3380CC4-5D6E-409C-BE32-E72D297353CC}">
              <c16:uniqueId val="{00000000-2B5D-429F-BCE2-A144B7DBD3AC}"/>
            </c:ext>
          </c:extLst>
        </c:ser>
        <c:dLbls>
          <c:showLegendKey val="0"/>
          <c:showVal val="0"/>
          <c:showCatName val="0"/>
          <c:showSerName val="0"/>
          <c:showPercent val="0"/>
          <c:showBubbleSize val="0"/>
        </c:dLbls>
        <c:marker val="1"/>
        <c:smooth val="0"/>
        <c:axId val="967672672"/>
        <c:axId val="967673152"/>
      </c:lineChart>
      <c:catAx>
        <c:axId val="9676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73152"/>
        <c:crosses val="autoZero"/>
        <c:auto val="1"/>
        <c:lblAlgn val="ctr"/>
        <c:lblOffset val="100"/>
        <c:noMultiLvlLbl val="0"/>
      </c:catAx>
      <c:valAx>
        <c:axId val="96767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7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DETAILS PROJECT.xlsx]PIVOT TABLES !PivotTable5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'!$B$61:$B$62</c:f>
              <c:strCache>
                <c:ptCount val="1"/>
                <c:pt idx="0">
                  <c:v>Finance</c:v>
                </c:pt>
              </c:strCache>
            </c:strRef>
          </c:tx>
          <c:spPr>
            <a:solidFill>
              <a:schemeClr val="accent1"/>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'!$B$63:$B$69</c:f>
              <c:numCache>
                <c:formatCode>General</c:formatCode>
                <c:ptCount val="6"/>
                <c:pt idx="1">
                  <c:v>137442</c:v>
                </c:pt>
                <c:pt idx="2">
                  <c:v>63184</c:v>
                </c:pt>
                <c:pt idx="3">
                  <c:v>651872</c:v>
                </c:pt>
                <c:pt idx="4">
                  <c:v>212668</c:v>
                </c:pt>
                <c:pt idx="5">
                  <c:v>246925</c:v>
                </c:pt>
              </c:numCache>
            </c:numRef>
          </c:val>
          <c:extLst>
            <c:ext xmlns:c16="http://schemas.microsoft.com/office/drawing/2014/chart" uri="{C3380CC4-5D6E-409C-BE32-E72D297353CC}">
              <c16:uniqueId val="{00000000-989F-4216-972E-3FD62A15EAD9}"/>
            </c:ext>
          </c:extLst>
        </c:ser>
        <c:ser>
          <c:idx val="1"/>
          <c:order val="1"/>
          <c:tx>
            <c:strRef>
              <c:f>'PIVOT TABLES '!$C$61:$C$62</c:f>
              <c:strCache>
                <c:ptCount val="1"/>
                <c:pt idx="0">
                  <c:v>HR</c:v>
                </c:pt>
              </c:strCache>
            </c:strRef>
          </c:tx>
          <c:spPr>
            <a:solidFill>
              <a:schemeClr val="accent2"/>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'!$C$63:$C$69</c:f>
              <c:numCache>
                <c:formatCode>General</c:formatCode>
                <c:ptCount val="6"/>
                <c:pt idx="1">
                  <c:v>69420</c:v>
                </c:pt>
                <c:pt idx="2">
                  <c:v>635075</c:v>
                </c:pt>
                <c:pt idx="3">
                  <c:v>503166</c:v>
                </c:pt>
                <c:pt idx="4">
                  <c:v>277315</c:v>
                </c:pt>
                <c:pt idx="5">
                  <c:v>75219</c:v>
                </c:pt>
              </c:numCache>
            </c:numRef>
          </c:val>
          <c:extLst>
            <c:ext xmlns:c16="http://schemas.microsoft.com/office/drawing/2014/chart" uri="{C3380CC4-5D6E-409C-BE32-E72D297353CC}">
              <c16:uniqueId val="{00000001-989F-4216-972E-3FD62A15EAD9}"/>
            </c:ext>
          </c:extLst>
        </c:ser>
        <c:ser>
          <c:idx val="2"/>
          <c:order val="2"/>
          <c:tx>
            <c:strRef>
              <c:f>'PIVOT TABLES '!$D$61:$D$62</c:f>
              <c:strCache>
                <c:ptCount val="1"/>
                <c:pt idx="0">
                  <c:v>IT</c:v>
                </c:pt>
              </c:strCache>
            </c:strRef>
          </c:tx>
          <c:spPr>
            <a:solidFill>
              <a:schemeClr val="accent3"/>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'!$D$63:$D$69</c:f>
              <c:numCache>
                <c:formatCode>General</c:formatCode>
                <c:ptCount val="6"/>
                <c:pt idx="1">
                  <c:v>70470</c:v>
                </c:pt>
                <c:pt idx="2">
                  <c:v>291041</c:v>
                </c:pt>
                <c:pt idx="3">
                  <c:v>742378</c:v>
                </c:pt>
                <c:pt idx="4">
                  <c:v>220971</c:v>
                </c:pt>
                <c:pt idx="5">
                  <c:v>262920</c:v>
                </c:pt>
              </c:numCache>
            </c:numRef>
          </c:val>
          <c:extLst>
            <c:ext xmlns:c16="http://schemas.microsoft.com/office/drawing/2014/chart" uri="{C3380CC4-5D6E-409C-BE32-E72D297353CC}">
              <c16:uniqueId val="{00000002-989F-4216-972E-3FD62A15EAD9}"/>
            </c:ext>
          </c:extLst>
        </c:ser>
        <c:ser>
          <c:idx val="3"/>
          <c:order val="3"/>
          <c:tx>
            <c:strRef>
              <c:f>'PIVOT TABLES '!$E$61:$E$62</c:f>
              <c:strCache>
                <c:ptCount val="1"/>
                <c:pt idx="0">
                  <c:v>Marketing</c:v>
                </c:pt>
              </c:strCache>
            </c:strRef>
          </c:tx>
          <c:spPr>
            <a:solidFill>
              <a:schemeClr val="accent4"/>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'!$E$63:$E$69</c:f>
              <c:numCache>
                <c:formatCode>General</c:formatCode>
                <c:ptCount val="6"/>
                <c:pt idx="1">
                  <c:v>245325</c:v>
                </c:pt>
                <c:pt idx="2">
                  <c:v>34402</c:v>
                </c:pt>
                <c:pt idx="3">
                  <c:v>744375</c:v>
                </c:pt>
                <c:pt idx="4">
                  <c:v>352568</c:v>
                </c:pt>
                <c:pt idx="5">
                  <c:v>279184</c:v>
                </c:pt>
              </c:numCache>
            </c:numRef>
          </c:val>
          <c:extLst>
            <c:ext xmlns:c16="http://schemas.microsoft.com/office/drawing/2014/chart" uri="{C3380CC4-5D6E-409C-BE32-E72D297353CC}">
              <c16:uniqueId val="{00000003-989F-4216-972E-3FD62A15EAD9}"/>
            </c:ext>
          </c:extLst>
        </c:ser>
        <c:ser>
          <c:idx val="4"/>
          <c:order val="4"/>
          <c:tx>
            <c:strRef>
              <c:f>'PIVOT TABLES '!$F$61:$F$62</c:f>
              <c:strCache>
                <c:ptCount val="1"/>
                <c:pt idx="0">
                  <c:v>Sales</c:v>
                </c:pt>
              </c:strCache>
            </c:strRef>
          </c:tx>
          <c:spPr>
            <a:solidFill>
              <a:schemeClr val="accent5"/>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'!$F$63:$F$69</c:f>
              <c:numCache>
                <c:formatCode>General</c:formatCode>
                <c:ptCount val="6"/>
                <c:pt idx="1">
                  <c:v>354767</c:v>
                </c:pt>
                <c:pt idx="2">
                  <c:v>192674</c:v>
                </c:pt>
                <c:pt idx="3">
                  <c:v>726982</c:v>
                </c:pt>
                <c:pt idx="4">
                  <c:v>91620</c:v>
                </c:pt>
                <c:pt idx="5">
                  <c:v>332184</c:v>
                </c:pt>
              </c:numCache>
            </c:numRef>
          </c:val>
          <c:extLst>
            <c:ext xmlns:c16="http://schemas.microsoft.com/office/drawing/2014/chart" uri="{C3380CC4-5D6E-409C-BE32-E72D297353CC}">
              <c16:uniqueId val="{00000004-989F-4216-972E-3FD62A15EAD9}"/>
            </c:ext>
          </c:extLst>
        </c:ser>
        <c:ser>
          <c:idx val="5"/>
          <c:order val="5"/>
          <c:tx>
            <c:strRef>
              <c:f>'PIVOT TABLES '!$G$61:$G$62</c:f>
              <c:strCache>
                <c:ptCount val="1"/>
                <c:pt idx="0">
                  <c:v>Unknown</c:v>
                </c:pt>
              </c:strCache>
            </c:strRef>
          </c:tx>
          <c:spPr>
            <a:solidFill>
              <a:schemeClr val="accent6"/>
            </a:solidFill>
            <a:ln>
              <a:noFill/>
            </a:ln>
            <a:effectLst/>
          </c:spPr>
          <c:invertIfNegative val="0"/>
          <c:cat>
            <c:strRef>
              <c:f>'PIVOT TABLES '!$A$63:$A$69</c:f>
              <c:strCache>
                <c:ptCount val="6"/>
                <c:pt idx="0">
                  <c:v> India</c:v>
                </c:pt>
                <c:pt idx="1">
                  <c:v>Australia</c:v>
                </c:pt>
                <c:pt idx="2">
                  <c:v>Germany</c:v>
                </c:pt>
                <c:pt idx="3">
                  <c:v>India</c:v>
                </c:pt>
                <c:pt idx="4">
                  <c:v>UK</c:v>
                </c:pt>
                <c:pt idx="5">
                  <c:v>USA</c:v>
                </c:pt>
              </c:strCache>
            </c:strRef>
          </c:cat>
          <c:val>
            <c:numRef>
              <c:f>'PIVOT TABLES '!$G$63:$G$69</c:f>
              <c:numCache>
                <c:formatCode>General</c:formatCode>
                <c:ptCount val="6"/>
                <c:pt idx="0">
                  <c:v>52272</c:v>
                </c:pt>
                <c:pt idx="1">
                  <c:v>293163</c:v>
                </c:pt>
                <c:pt idx="2">
                  <c:v>233365</c:v>
                </c:pt>
                <c:pt idx="3">
                  <c:v>440322</c:v>
                </c:pt>
                <c:pt idx="4">
                  <c:v>332203</c:v>
                </c:pt>
                <c:pt idx="5">
                  <c:v>246420</c:v>
                </c:pt>
              </c:numCache>
            </c:numRef>
          </c:val>
          <c:extLst>
            <c:ext xmlns:c16="http://schemas.microsoft.com/office/drawing/2014/chart" uri="{C3380CC4-5D6E-409C-BE32-E72D297353CC}">
              <c16:uniqueId val="{00000005-989F-4216-972E-3FD62A15EAD9}"/>
            </c:ext>
          </c:extLst>
        </c:ser>
        <c:dLbls>
          <c:showLegendKey val="0"/>
          <c:showVal val="0"/>
          <c:showCatName val="0"/>
          <c:showSerName val="0"/>
          <c:showPercent val="0"/>
          <c:showBubbleSize val="0"/>
        </c:dLbls>
        <c:gapWidth val="182"/>
        <c:axId val="1054807344"/>
        <c:axId val="1054803984"/>
      </c:barChart>
      <c:catAx>
        <c:axId val="105480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803984"/>
        <c:crosses val="autoZero"/>
        <c:auto val="1"/>
        <c:lblAlgn val="ctr"/>
        <c:lblOffset val="100"/>
        <c:noMultiLvlLbl val="0"/>
      </c:catAx>
      <c:valAx>
        <c:axId val="1054803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80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601980</xdr:colOff>
      <xdr:row>14</xdr:row>
      <xdr:rowOff>0</xdr:rowOff>
    </xdr:from>
    <xdr:to>
      <xdr:col>13</xdr:col>
      <xdr:colOff>373380</xdr:colOff>
      <xdr:row>25</xdr:row>
      <xdr:rowOff>152400</xdr:rowOff>
    </xdr:to>
    <xdr:graphicFrame macro="">
      <xdr:nvGraphicFramePr>
        <xdr:cNvPr id="3" name="Chart 2">
          <a:extLst>
            <a:ext uri="{FF2B5EF4-FFF2-40B4-BE49-F238E27FC236}">
              <a16:creationId xmlns:a16="http://schemas.microsoft.com/office/drawing/2014/main" id="{758BB6F3-0675-B702-097A-3CBFF71A1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441960</xdr:colOff>
      <xdr:row>26</xdr:row>
      <xdr:rowOff>144780</xdr:rowOff>
    </xdr:from>
    <xdr:to>
      <xdr:col>12</xdr:col>
      <xdr:colOff>647700</xdr:colOff>
      <xdr:row>38</xdr:row>
      <xdr:rowOff>160020</xdr:rowOff>
    </xdr:to>
    <xdr:graphicFrame macro="">
      <xdr:nvGraphicFramePr>
        <xdr:cNvPr id="4" name="Chart 3">
          <a:extLst>
            <a:ext uri="{FF2B5EF4-FFF2-40B4-BE49-F238E27FC236}">
              <a16:creationId xmlns:a16="http://schemas.microsoft.com/office/drawing/2014/main" id="{12F4944C-20C7-65D9-317B-AC8F9E662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39</xdr:row>
      <xdr:rowOff>11430</xdr:rowOff>
    </xdr:from>
    <xdr:to>
      <xdr:col>13</xdr:col>
      <xdr:colOff>1744980</xdr:colOff>
      <xdr:row>51</xdr:row>
      <xdr:rowOff>68580</xdr:rowOff>
    </xdr:to>
    <xdr:graphicFrame macro="">
      <xdr:nvGraphicFramePr>
        <xdr:cNvPr id="5" name="Chart 4">
          <a:extLst>
            <a:ext uri="{FF2B5EF4-FFF2-40B4-BE49-F238E27FC236}">
              <a16:creationId xmlns:a16="http://schemas.microsoft.com/office/drawing/2014/main" id="{DE80E0C5-C71A-E9C0-D8AC-F19A2BB5B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274320</xdr:colOff>
      <xdr:row>54</xdr:row>
      <xdr:rowOff>68580</xdr:rowOff>
    </xdr:from>
    <xdr:to>
      <xdr:col>13</xdr:col>
      <xdr:colOff>1478280</xdr:colOff>
      <xdr:row>69</xdr:row>
      <xdr:rowOff>57150</xdr:rowOff>
    </xdr:to>
    <xdr:graphicFrame macro="">
      <xdr:nvGraphicFramePr>
        <xdr:cNvPr id="7" name="Chart 6">
          <a:extLst>
            <a:ext uri="{FF2B5EF4-FFF2-40B4-BE49-F238E27FC236}">
              <a16:creationId xmlns:a16="http://schemas.microsoft.com/office/drawing/2014/main" id="{3E91767C-F34B-8547-C49E-7716BF5F4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594360</xdr:colOff>
      <xdr:row>70</xdr:row>
      <xdr:rowOff>60961</xdr:rowOff>
    </xdr:from>
    <xdr:to>
      <xdr:col>13</xdr:col>
      <xdr:colOff>998220</xdr:colOff>
      <xdr:row>80</xdr:row>
      <xdr:rowOff>68581</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1E295254-D91A-DE86-28DC-5C39791944F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183880" y="12862561"/>
              <a:ext cx="2049780" cy="2004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274320</xdr:colOff>
      <xdr:row>43</xdr:row>
      <xdr:rowOff>137160</xdr:rowOff>
    </xdr:from>
    <xdr:to>
      <xdr:col>7</xdr:col>
      <xdr:colOff>617220</xdr:colOff>
      <xdr:row>51</xdr:row>
      <xdr:rowOff>45720</xdr:rowOff>
    </xdr:to>
    <mc:AlternateContent xmlns:mc="http://schemas.openxmlformats.org/markup-compatibility/2006">
      <mc:Choice xmlns:tsle="http://schemas.microsoft.com/office/drawing/2012/timeslicer" Requires="tsle">
        <xdr:graphicFrame macro="">
          <xdr:nvGraphicFramePr>
            <xdr:cNvPr id="9" name="Date of Joining">
              <a:extLst>
                <a:ext uri="{FF2B5EF4-FFF2-40B4-BE49-F238E27FC236}">
                  <a16:creationId xmlns:a16="http://schemas.microsoft.com/office/drawing/2014/main" id="{E071004C-43FD-BAB3-387C-B0A0FD8FE527}"/>
                </a:ext>
              </a:extLst>
            </xdr:cNvPr>
            <xdr:cNvGraphicFramePr/>
          </xdr:nvGraphicFramePr>
          <xdr:xfrm>
            <a:off x="0" y="0"/>
            <a:ext cx="0" cy="0"/>
          </xdr:xfrm>
          <a:graphic>
            <a:graphicData uri="http://schemas.microsoft.com/office/drawing/2012/timeslicer">
              <tsle:timeslicer xmlns:tsle="http://schemas.microsoft.com/office/drawing/2012/timeslicer" name="Date of Joining"/>
            </a:graphicData>
          </a:graphic>
        </xdr:graphicFrame>
      </mc:Choice>
      <mc:Fallback>
        <xdr:sp macro="" textlink="">
          <xdr:nvSpPr>
            <xdr:cNvPr id="0" name=""/>
            <xdr:cNvSpPr>
              <a:spLocks noTextEdit="1"/>
            </xdr:cNvSpPr>
          </xdr:nvSpPr>
          <xdr:spPr>
            <a:xfrm>
              <a:off x="2476500" y="80010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434340</xdr:colOff>
      <xdr:row>11</xdr:row>
      <xdr:rowOff>99061</xdr:rowOff>
    </xdr:from>
    <xdr:to>
      <xdr:col>6</xdr:col>
      <xdr:colOff>403860</xdr:colOff>
      <xdr:row>22</xdr:row>
      <xdr:rowOff>60961</xdr:rowOff>
    </xdr:to>
    <mc:AlternateContent xmlns:mc="http://schemas.openxmlformats.org/markup-compatibility/2006">
      <mc:Choice xmlns:a14="http://schemas.microsoft.com/office/drawing/2010/main" Requires="a14">
        <xdr:graphicFrame macro="">
          <xdr:nvGraphicFramePr>
            <xdr:cNvPr id="10" name="Department 1">
              <a:extLst>
                <a:ext uri="{FF2B5EF4-FFF2-40B4-BE49-F238E27FC236}">
                  <a16:creationId xmlns:a16="http://schemas.microsoft.com/office/drawing/2014/main" id="{E2E26877-BD5D-D393-4598-CD4E9A2D9A6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3185160" y="2110741"/>
              <a:ext cx="1828800" cy="197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2</xdr:row>
      <xdr:rowOff>0</xdr:rowOff>
    </xdr:from>
    <xdr:to>
      <xdr:col>13</xdr:col>
      <xdr:colOff>929640</xdr:colOff>
      <xdr:row>14</xdr:row>
      <xdr:rowOff>83820</xdr:rowOff>
    </xdr:to>
    <xdr:graphicFrame macro="">
      <xdr:nvGraphicFramePr>
        <xdr:cNvPr id="16" name="Chart 15">
          <a:extLst>
            <a:ext uri="{FF2B5EF4-FFF2-40B4-BE49-F238E27FC236}">
              <a16:creationId xmlns:a16="http://schemas.microsoft.com/office/drawing/2014/main" id="{CC327C18-CA8D-430E-9FFF-66BD92BAF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4</xdr:row>
      <xdr:rowOff>99060</xdr:rowOff>
    </xdr:from>
    <xdr:to>
      <xdr:col>11</xdr:col>
      <xdr:colOff>152400</xdr:colOff>
      <xdr:row>15</xdr:row>
      <xdr:rowOff>121920</xdr:rowOff>
    </xdr:to>
    <xdr:graphicFrame macro="">
      <xdr:nvGraphicFramePr>
        <xdr:cNvPr id="3" name="Chart 2">
          <a:extLst>
            <a:ext uri="{FF2B5EF4-FFF2-40B4-BE49-F238E27FC236}">
              <a16:creationId xmlns:a16="http://schemas.microsoft.com/office/drawing/2014/main" id="{3F35A076-B7DF-4622-AC58-3779CB2DA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205740</xdr:colOff>
      <xdr:row>4</xdr:row>
      <xdr:rowOff>137160</xdr:rowOff>
    </xdr:from>
    <xdr:to>
      <xdr:col>18</xdr:col>
      <xdr:colOff>7620</xdr:colOff>
      <xdr:row>16</xdr:row>
      <xdr:rowOff>99060</xdr:rowOff>
    </xdr:to>
    <xdr:graphicFrame macro="">
      <xdr:nvGraphicFramePr>
        <xdr:cNvPr id="5" name="Chart 4">
          <a:extLst>
            <a:ext uri="{FF2B5EF4-FFF2-40B4-BE49-F238E27FC236}">
              <a16:creationId xmlns:a16="http://schemas.microsoft.com/office/drawing/2014/main" id="{CEE5348E-F9A9-4887-8567-6249D48FB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xdr:row>
      <xdr:rowOff>0</xdr:rowOff>
    </xdr:from>
    <xdr:to>
      <xdr:col>3</xdr:col>
      <xdr:colOff>350520</xdr:colOff>
      <xdr:row>15</xdr:row>
      <xdr:rowOff>30480</xdr:rowOff>
    </xdr:to>
    <mc:AlternateContent xmlns:mc="http://schemas.openxmlformats.org/markup-compatibility/2006">
      <mc:Choice xmlns:a14="http://schemas.microsoft.com/office/drawing/2010/main" Requires="a14">
        <xdr:graphicFrame macro="">
          <xdr:nvGraphicFramePr>
            <xdr:cNvPr id="7" name="Department 2">
              <a:extLst>
                <a:ext uri="{FF2B5EF4-FFF2-40B4-BE49-F238E27FC236}">
                  <a16:creationId xmlns:a16="http://schemas.microsoft.com/office/drawing/2014/main" id="{CF157CAF-3CA8-4FF2-A1A4-BABB05B5F13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0" y="1158240"/>
              <a:ext cx="2179320" cy="1859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342900</xdr:colOff>
      <xdr:row>29</xdr:row>
      <xdr:rowOff>114300</xdr:rowOff>
    </xdr:from>
    <xdr:to>
      <xdr:col>16</xdr:col>
      <xdr:colOff>441960</xdr:colOff>
      <xdr:row>43</xdr:row>
      <xdr:rowOff>0</xdr:rowOff>
    </xdr:to>
    <xdr:graphicFrame macro="">
      <xdr:nvGraphicFramePr>
        <xdr:cNvPr id="9" name="Chart 8">
          <a:extLst>
            <a:ext uri="{FF2B5EF4-FFF2-40B4-BE49-F238E27FC236}">
              <a16:creationId xmlns:a16="http://schemas.microsoft.com/office/drawing/2014/main" id="{0A4654FC-1059-4716-B727-112B39753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76200</xdr:colOff>
      <xdr:row>17</xdr:row>
      <xdr:rowOff>121920</xdr:rowOff>
    </xdr:from>
    <xdr:to>
      <xdr:col>19</xdr:col>
      <xdr:colOff>30480</xdr:colOff>
      <xdr:row>28</xdr:row>
      <xdr:rowOff>137160</xdr:rowOff>
    </xdr:to>
    <xdr:graphicFrame macro="">
      <xdr:nvGraphicFramePr>
        <xdr:cNvPr id="11" name="Chart 10">
          <a:extLst>
            <a:ext uri="{FF2B5EF4-FFF2-40B4-BE49-F238E27FC236}">
              <a16:creationId xmlns:a16="http://schemas.microsoft.com/office/drawing/2014/main" id="{8FC3466B-7244-4BB7-8220-2E28415B0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419100</xdr:colOff>
      <xdr:row>28</xdr:row>
      <xdr:rowOff>152400</xdr:rowOff>
    </xdr:from>
    <xdr:to>
      <xdr:col>9</xdr:col>
      <xdr:colOff>60960</xdr:colOff>
      <xdr:row>43</xdr:row>
      <xdr:rowOff>140970</xdr:rowOff>
    </xdr:to>
    <xdr:graphicFrame macro="">
      <xdr:nvGraphicFramePr>
        <xdr:cNvPr id="13" name="Chart 12">
          <a:extLst>
            <a:ext uri="{FF2B5EF4-FFF2-40B4-BE49-F238E27FC236}">
              <a16:creationId xmlns:a16="http://schemas.microsoft.com/office/drawing/2014/main" id="{0025AC9E-2972-4664-87AC-85012FCB1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144780</xdr:colOff>
      <xdr:row>16</xdr:row>
      <xdr:rowOff>45720</xdr:rowOff>
    </xdr:from>
    <xdr:to>
      <xdr:col>5</xdr:col>
      <xdr:colOff>434340</xdr:colOff>
      <xdr:row>25</xdr:row>
      <xdr:rowOff>99060</xdr:rowOff>
    </xdr:to>
    <mc:AlternateContent xmlns:mc="http://schemas.openxmlformats.org/markup-compatibility/2006">
      <mc:Choice xmlns:tsle="http://schemas.microsoft.com/office/drawing/2012/timeslicer" Requires="tsle">
        <xdr:graphicFrame macro="">
          <xdr:nvGraphicFramePr>
            <xdr:cNvPr id="15" name="Date of Joining 1">
              <a:extLst>
                <a:ext uri="{FF2B5EF4-FFF2-40B4-BE49-F238E27FC236}">
                  <a16:creationId xmlns:a16="http://schemas.microsoft.com/office/drawing/2014/main" id="{D23BA405-EE64-4E7F-8C73-C9546C7D497A}"/>
                </a:ext>
              </a:extLst>
            </xdr:cNvPr>
            <xdr:cNvGraphicFramePr/>
          </xdr:nvGraphicFramePr>
          <xdr:xfrm>
            <a:off x="0" y="0"/>
            <a:ext cx="0" cy="0"/>
          </xdr:xfrm>
          <a:graphic>
            <a:graphicData uri="http://schemas.microsoft.com/office/drawing/2012/timeslicer">
              <tsle:timeslicer xmlns:tsle="http://schemas.microsoft.com/office/drawing/2012/timeslicer" name="Date of Joining 1"/>
            </a:graphicData>
          </a:graphic>
        </xdr:graphicFrame>
      </mc:Choice>
      <mc:Fallback>
        <xdr:sp macro="" textlink="">
          <xdr:nvSpPr>
            <xdr:cNvPr id="0" name=""/>
            <xdr:cNvSpPr>
              <a:spLocks noTextEdit="1"/>
            </xdr:cNvSpPr>
          </xdr:nvSpPr>
          <xdr:spPr>
            <a:xfrm>
              <a:off x="144780" y="3215640"/>
              <a:ext cx="3337560" cy="16992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mat" refreshedDate="45977.440672916666" createdVersion="8" refreshedVersion="8" minRefreshableVersion="3" recordCount="139" xr:uid="{DF48CE60-AE76-41EB-9357-E16DC31AD67E}">
  <cacheSource type="worksheet">
    <worksheetSource name="Sheet1__2"/>
  </cacheSource>
  <cacheFields count="14">
    <cacheField name="Employee ID" numFmtId="0">
      <sharedItems count="139">
        <s v="EMP1001"/>
        <s v="EMP1002"/>
        <s v="EMP1003"/>
        <s v="EMP1004"/>
        <s v="EMP1005"/>
        <s v="EMP1006"/>
        <s v="EMP1007"/>
        <s v="EMP1008"/>
        <s v="EMP1009"/>
        <s v="EMP1010"/>
        <s v="EMP1011"/>
        <s v="EMP1012"/>
        <s v="EMP1013"/>
        <s v="EMP1014"/>
        <s v="EMP1015"/>
        <s v="EMP1016"/>
        <s v="EMP1017"/>
        <s v="EMP1018"/>
        <s v="EMP1019"/>
        <s v="EMP1021"/>
        <s v="EMP1022"/>
        <s v="EMP1023"/>
        <s v="EMP1024"/>
        <s v="EMP1025"/>
        <s v="EMP1026"/>
        <s v="EMP1027"/>
        <s v="EMP1028"/>
        <s v="EMP1029"/>
        <s v="EMP1030"/>
        <s v="EMP1031"/>
        <s v="EMP1032"/>
        <s v="EMP1033"/>
        <s v="EMP1034"/>
        <s v="EMP1035"/>
        <s v="EMP1036"/>
        <s v="EMP1037"/>
        <s v="EMP1038"/>
        <s v="EMP1039"/>
        <s v="EMP1041"/>
        <s v="EMP1042"/>
        <s v="EMP1043"/>
        <s v="EMP1044"/>
        <s v="EMP1045"/>
        <s v="EMP1046"/>
        <s v="EMP1047"/>
        <s v="EMP1048"/>
        <s v="EMP1049"/>
        <s v="EMP1051"/>
        <s v="EMP1052"/>
        <s v="EMP1053"/>
        <s v="EMP1054"/>
        <s v="EMP1055"/>
        <s v="EMP1056"/>
        <s v="EMP1057"/>
        <s v="EMP1058"/>
        <s v="EMP1059"/>
        <s v="EMP1061"/>
        <s v="EMP1062"/>
        <s v="EMP1063"/>
        <s v="EMP1064"/>
        <s v="EMP1065"/>
        <s v="EMP1066"/>
        <s v="EMP1067"/>
        <s v="EMP1068"/>
        <s v="EMP1069"/>
        <s v="EMP1070"/>
        <s v="EMP1071"/>
        <s v="EMP1072"/>
        <s v="EMP1073"/>
        <s v="EMP1074"/>
        <s v="EMP1075"/>
        <s v="EMP1076"/>
        <s v="EMP1077"/>
        <s v="EMP1078"/>
        <s v="EMP1079"/>
        <s v="EMP1081"/>
        <s v="EMP1082"/>
        <s v="EMP1083"/>
        <s v="EMP1084"/>
        <s v="EMP1085"/>
        <s v="EMP1086"/>
        <s v="EMP1087"/>
        <s v="EMP1088"/>
        <s v="EMP1089"/>
        <s v="EMP1090"/>
        <s v="EMP1091"/>
        <s v="EMP1092"/>
        <s v="EMP1093"/>
        <s v="EMP1094"/>
        <s v="EMP1095"/>
        <s v="EMP1096"/>
        <s v="EMP1097"/>
        <s v="EMP1098"/>
        <s v="EMP1099"/>
        <s v="EMP1101"/>
        <s v="EMP1102"/>
        <s v="EMP1103"/>
        <s v="EMP1104"/>
        <s v="EMP1105"/>
        <s v="EMP1106"/>
        <s v="EMP1107"/>
        <s v="EMP1108"/>
        <s v="EMP1109"/>
        <s v="EMP1111"/>
        <s v="EMP1112"/>
        <s v="EMP1113"/>
        <s v="EMP1114"/>
        <s v="EMP1115"/>
        <s v="EMP1116"/>
        <s v="EMP1117"/>
        <s v="EMP1118"/>
        <s v="EMP1119"/>
        <s v="EMP1121"/>
        <s v="EMP1122"/>
        <s v="EMP1123"/>
        <s v="EMP1124"/>
        <s v="EMP1125"/>
        <s v="EMP1126"/>
        <s v="EMP1127"/>
        <s v="EMP1128"/>
        <s v="EMP1129"/>
        <s v="EMP1131"/>
        <s v="EMP1132"/>
        <s v="EMP1133"/>
        <s v="EMP1134"/>
        <s v="EMP1135"/>
        <s v="EMP1136"/>
        <s v="EMP1137"/>
        <s v="EMP1138"/>
        <s v="EMP1139"/>
        <s v="EMP1141"/>
        <s v="EMP1142"/>
        <s v="EMP1143"/>
        <s v="EMP1144"/>
        <s v="EMP1145"/>
        <s v="EMP1146"/>
        <s v="EMP1147"/>
        <s v="EMP1148"/>
        <s v="EMP1149"/>
      </sharedItems>
    </cacheField>
    <cacheField name="Employee Name" numFmtId="0">
      <sharedItems/>
    </cacheField>
    <cacheField name="Department" numFmtId="0">
      <sharedItems count="6">
        <s v="HR"/>
        <s v="Finance"/>
        <s v="Sales"/>
        <s v="IT"/>
        <s v="Marketing"/>
        <s v="Unknown"/>
      </sharedItems>
    </cacheField>
    <cacheField name="Country" numFmtId="0">
      <sharedItems count="6">
        <s v="Germany"/>
        <s v="USA"/>
        <s v="India"/>
        <s v="UK"/>
        <s v="Australia"/>
        <s v=" "/>
      </sharedItems>
    </cacheField>
    <cacheField name="Salary" numFmtId="0">
      <sharedItems containsSemiMixedTypes="0" containsString="0" containsNumber="1" containsInteger="1" minValue="30280" maxValue="99621"/>
    </cacheField>
    <cacheField name="Date of Joining" numFmtId="14">
      <sharedItems containsNonDate="0" containsDate="1" containsString="0" containsBlank="1" minDate="2015-01-11T00:00:00" maxDate="2017-11-13T00:00:00" count="139">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31T00:00:00"/>
        <d v="2015-06-07T00:00:00"/>
        <d v="2015-06-14T00:00:00"/>
        <d v="2015-06-21T00:00:00"/>
        <d v="2015-06-28T00:00:00"/>
        <d v="2015-07-05T00:00:00"/>
        <d v="2015-07-12T00:00:00"/>
        <d v="2015-07-19T00:00:00"/>
        <d v="2015-07-26T00:00:00"/>
        <m/>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7T00:00:00"/>
        <d v="2017-09-24T00:00:00"/>
        <d v="2017-10-01T00:00:00"/>
        <d v="2017-10-08T00:00:00"/>
        <d v="2017-10-15T00:00:00"/>
        <d v="2017-10-22T00:00:00"/>
        <d v="2017-10-29T00:00:00"/>
        <d v="2017-11-05T00:00:00"/>
        <d v="2017-11-12T00:00:00"/>
      </sharedItems>
      <fieldGroup par="13"/>
    </cacheField>
    <cacheField name="PERFORMANCE LEVEL" numFmtId="0">
      <sharedItems/>
    </cacheField>
    <cacheField name="Performance Rating" numFmtId="0">
      <sharedItems containsSemiMixedTypes="0" containsString="0" containsNumber="1" containsInteger="1" minValue="0" maxValue="5"/>
    </cacheField>
    <cacheField name="Gender" numFmtId="0">
      <sharedItems count="4">
        <s v="Other"/>
        <s v="Unknown"/>
        <s v="Male"/>
        <s v="Female"/>
      </sharedItems>
    </cacheField>
    <cacheField name="Email" numFmtId="0">
      <sharedItems/>
    </cacheField>
    <cacheField name="NO.OF MONTHS AS OF NOW" numFmtId="0">
      <sharedItems containsString="0" containsBlank="1" containsNumber="1" containsInteger="1" minValue="96" maxValue="130"/>
    </cacheField>
    <cacheField name="Months (Date of Joining)" numFmtId="0" databaseField="0">
      <fieldGroup base="5">
        <rangePr groupBy="months" startDate="2015-01-11T00:00:00" endDate="2017-11-13T00:00:00"/>
        <groupItems count="14">
          <s v="&lt;1/11/2015"/>
          <s v="Jan"/>
          <s v="Feb"/>
          <s v="Mar"/>
          <s v="Apr"/>
          <s v="May"/>
          <s v="Jun"/>
          <s v="Jul"/>
          <s v="Aug"/>
          <s v="Sep"/>
          <s v="Oct"/>
          <s v="Nov"/>
          <s v="Dec"/>
          <s v="&gt;11/13/2017"/>
        </groupItems>
      </fieldGroup>
    </cacheField>
    <cacheField name="Quarters (Date of Joining)" numFmtId="0" databaseField="0">
      <fieldGroup base="5">
        <rangePr groupBy="quarters" startDate="2015-01-11T00:00:00" endDate="2017-11-13T00:00:00"/>
        <groupItems count="6">
          <s v="&lt;1/11/2015"/>
          <s v="Qtr1"/>
          <s v="Qtr2"/>
          <s v="Qtr3"/>
          <s v="Qtr4"/>
          <s v="&gt;11/13/2017"/>
        </groupItems>
      </fieldGroup>
    </cacheField>
    <cacheField name="Years (Date of Joining)" numFmtId="0" databaseField="0">
      <fieldGroup base="5">
        <rangePr groupBy="years" startDate="2015-01-11T00:00:00" endDate="2017-11-13T00:00:00"/>
        <groupItems count="5">
          <s v="&lt;1/11/2015"/>
          <s v="2015"/>
          <s v="2016"/>
          <s v="2017"/>
          <s v="&gt;11/13/2017"/>
        </groupItems>
      </fieldGroup>
    </cacheField>
  </cacheFields>
  <extLst>
    <ext xmlns:x14="http://schemas.microsoft.com/office/spreadsheetml/2009/9/main" uri="{725AE2AE-9491-48be-B2B4-4EB974FC3084}">
      <x14:pivotCacheDefinition pivotCacheId="7185436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mat" refreshedDate="45977.471943402779" createdVersion="8" refreshedVersion="8" minRefreshableVersion="3" recordCount="149" xr:uid="{AE0BE9BD-28CD-4C98-AE02-31033F77537E}">
  <cacheSource type="worksheet">
    <worksheetSource name="Sheet1"/>
  </cacheSource>
  <cacheFields count="10">
    <cacheField name="Employee ID" numFmtId="0">
      <sharedItems/>
    </cacheField>
    <cacheField name="Name" numFmtId="0">
      <sharedItems/>
    </cacheField>
    <cacheField name="Department" numFmtId="0">
      <sharedItems count="6">
        <s v="HR"/>
        <s v="Finance"/>
        <s v="Sales"/>
        <s v="IT"/>
        <s v="Marketing"/>
        <s v="Unknown"/>
      </sharedItems>
    </cacheField>
    <cacheField name="Country" numFmtId="0">
      <sharedItems count="6">
        <s v="Germany"/>
        <s v="USA"/>
        <s v="India"/>
        <s v="UK"/>
        <s v="Australia"/>
        <s v=" India"/>
      </sharedItems>
    </cacheField>
    <cacheField name="Salary" numFmtId="0">
      <sharedItems containsMixedTypes="1" containsNumber="1" containsInteger="1" minValue="30280" maxValue="99621" count="143">
        <n v="54255"/>
        <n v="63184"/>
        <n v="94406"/>
        <n v="64120"/>
        <n v="78421"/>
        <n v="67721"/>
        <n v="35364"/>
        <n v="97881"/>
        <n v="91846"/>
        <n v="64247"/>
        <n v="91180"/>
        <n v="96418"/>
        <n v="62158"/>
        <n v="59894"/>
        <n v="92443"/>
        <n v="90271"/>
        <n v="41341"/>
        <n v="73602"/>
        <n v="67531"/>
        <s v="N/A"/>
        <n v="98922"/>
        <n v="38333"/>
        <n v="36515"/>
        <n v="91005"/>
        <n v="52272"/>
        <n v="76518"/>
        <n v="41448"/>
        <n v="49282"/>
        <n v="92959"/>
        <n v="92259"/>
        <n v="92299"/>
        <n v="95586"/>
        <n v="95367"/>
        <n v="79549"/>
        <n v="54463"/>
        <n v="89781"/>
        <n v="64796"/>
        <n v="52093"/>
        <n v="48224"/>
        <n v="33956"/>
        <n v="64913"/>
        <n v="35326"/>
        <n v="81610"/>
        <n v="58962"/>
        <n v="92701"/>
        <n v="58245"/>
        <n v="66513"/>
        <n v="78720"/>
        <n v="30686"/>
        <n v="39423"/>
        <n v="30280"/>
        <n v="33352"/>
        <n v="75633"/>
        <n v="74815"/>
        <n v="60011"/>
        <n v="96949"/>
        <n v="84924"/>
        <n v="82033"/>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6503"/>
        <n v="42096"/>
        <n v="79145"/>
        <n v="61556"/>
        <n v="87963"/>
        <n v="48325"/>
        <n v="86412"/>
        <n v="66761"/>
        <n v="88850"/>
        <n v="31293"/>
        <n v="34306"/>
        <n v="78330"/>
        <n v="47653"/>
        <n v="44627"/>
        <n v="92343"/>
        <n v="38837"/>
        <n v="73483"/>
        <n v="95032"/>
        <n v="44358"/>
        <n v="45676"/>
        <n v="52036"/>
        <n v="30357"/>
        <n v="60034"/>
        <n v="90019"/>
        <n v="71494"/>
        <n v="91953"/>
        <n v="30402"/>
        <n v="62994"/>
        <n v="48289"/>
        <n v="34402"/>
        <n v="38678"/>
        <n v="45758"/>
        <n v="62476"/>
        <n v="39280"/>
        <n v="60335"/>
        <n v="84968"/>
        <n v="84750"/>
        <n v="73348"/>
        <n v="66882"/>
        <n v="86775"/>
        <n v="91620"/>
        <n v="94148"/>
        <n v="35627"/>
        <n v="57141"/>
        <n v="65270"/>
        <n v="67335"/>
        <n v="98475"/>
      </sharedItems>
    </cacheField>
    <cacheField name="Date of Joining" numFmtId="14">
      <sharedItems containsDate="1" containsMixedTypes="1" minDate="2015-01-11T00:00:00" maxDate="2017-11-13T00:00:00"/>
    </cacheField>
    <cacheField name="PERFORMANCE LEVEL" numFmtId="14">
      <sharedItems/>
    </cacheField>
    <cacheField name="Performance Rating" numFmtId="0">
      <sharedItems containsSemiMixedTypes="0" containsString="0" containsNumber="1" containsInteger="1" minValue="0" maxValue="5" count="6">
        <n v="1"/>
        <n v="2"/>
        <n v="0"/>
        <n v="5"/>
        <n v="4"/>
        <n v="3"/>
      </sharedItems>
    </cacheField>
    <cacheField name="Gender" numFmtId="0">
      <sharedItems/>
    </cacheField>
    <cacheField name="Email" numFmtId="0">
      <sharedItems/>
    </cacheField>
  </cacheFields>
  <extLst>
    <ext xmlns:x14="http://schemas.microsoft.com/office/spreadsheetml/2009/9/main" uri="{725AE2AE-9491-48be-B2B4-4EB974FC3084}">
      <x14:pivotCacheDefinition pivotCacheId="2116869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
  <r>
    <x v="0"/>
    <s v="Eve Adams"/>
    <x v="0"/>
    <x v="0"/>
    <n v="54255"/>
    <x v="0"/>
    <s v="GOOD"/>
    <n v="1"/>
    <x v="0"/>
    <s v="user106@example.com"/>
    <n v="130"/>
  </r>
  <r>
    <x v="1"/>
    <s v="Alice Brown"/>
    <x v="1"/>
    <x v="0"/>
    <n v="63184"/>
    <x v="1"/>
    <s v="NEED TO IMPROVE"/>
    <n v="2"/>
    <x v="1"/>
    <s v="user176@example.com"/>
    <n v="129"/>
  </r>
  <r>
    <x v="2"/>
    <s v="John Doe"/>
    <x v="2"/>
    <x v="1"/>
    <n v="94406"/>
    <x v="2"/>
    <s v="NEED TO IMPROVE"/>
    <n v="1"/>
    <x v="2"/>
    <s v="user168@example.com"/>
    <n v="129"/>
  </r>
  <r>
    <x v="3"/>
    <s v="Jane Smith"/>
    <x v="2"/>
    <x v="0"/>
    <n v="64120"/>
    <x v="3"/>
    <s v="NEED TO IMPROVE"/>
    <n v="1"/>
    <x v="2"/>
    <s v="user49@example.com"/>
    <n v="129"/>
  </r>
  <r>
    <x v="4"/>
    <s v="Alice Brown"/>
    <x v="3"/>
    <x v="2"/>
    <n v="78421"/>
    <x v="4"/>
    <s v="NEED TO IMPROVE"/>
    <n v="2"/>
    <x v="3"/>
    <s v="user24@example.com"/>
    <n v="129"/>
  </r>
  <r>
    <x v="5"/>
    <s v="Sam Wilson"/>
    <x v="2"/>
    <x v="2"/>
    <n v="67721"/>
    <x v="5"/>
    <s v="NEED TO IMPROVE"/>
    <n v="0"/>
    <x v="2"/>
    <s v="user168@example.com"/>
    <n v="129"/>
  </r>
  <r>
    <x v="6"/>
    <s v="Chris Lee"/>
    <x v="4"/>
    <x v="2"/>
    <n v="35364"/>
    <x v="6"/>
    <s v="NEED TO IMPROVE"/>
    <n v="2"/>
    <x v="0"/>
    <s v="user26@example.com"/>
    <n v="128"/>
  </r>
  <r>
    <x v="7"/>
    <s v="Alice Brown"/>
    <x v="3"/>
    <x v="0"/>
    <n v="97881"/>
    <x v="7"/>
    <s v="NEED TO IMPROVE"/>
    <n v="0"/>
    <x v="3"/>
    <s v="user25@example.com"/>
    <n v="128"/>
  </r>
  <r>
    <x v="8"/>
    <s v="Chris Lee"/>
    <x v="0"/>
    <x v="3"/>
    <n v="91846"/>
    <x v="8"/>
    <s v="NEED TO IMPROVE"/>
    <n v="0"/>
    <x v="2"/>
    <s v="user153@example.com"/>
    <n v="128"/>
  </r>
  <r>
    <x v="9"/>
    <s v="Sam Wilson"/>
    <x v="1"/>
    <x v="3"/>
    <n v="64247"/>
    <x v="9"/>
    <s v="NEED TO IMPROVE"/>
    <n v="1"/>
    <x v="3"/>
    <s v="user18@example.com"/>
    <n v="128"/>
  </r>
  <r>
    <x v="10"/>
    <s v="Sam Wilson"/>
    <x v="3"/>
    <x v="1"/>
    <n v="91180"/>
    <x v="10"/>
    <s v="NEED TO IMPROVE"/>
    <n v="5"/>
    <x v="2"/>
    <s v="user1@example.com"/>
    <n v="127"/>
  </r>
  <r>
    <x v="11"/>
    <s v="Bob Johnson"/>
    <x v="2"/>
    <x v="2"/>
    <n v="96418"/>
    <x v="11"/>
    <s v="GOOD"/>
    <n v="5"/>
    <x v="2"/>
    <s v="user106@example.com"/>
    <n v="127"/>
  </r>
  <r>
    <x v="12"/>
    <s v="Sam Wilson"/>
    <x v="5"/>
    <x v="2"/>
    <n v="62158"/>
    <x v="12"/>
    <s v="GOOD"/>
    <n v="4"/>
    <x v="1"/>
    <s v="user180@example.com"/>
    <n v="127"/>
  </r>
  <r>
    <x v="13"/>
    <s v="Jane Smith"/>
    <x v="0"/>
    <x v="2"/>
    <n v="59894"/>
    <x v="13"/>
    <s v="GOOD"/>
    <n v="2"/>
    <x v="2"/>
    <s v="user184@example.com"/>
    <n v="127"/>
  </r>
  <r>
    <x v="14"/>
    <s v="Unknown "/>
    <x v="3"/>
    <x v="2"/>
    <n v="92443"/>
    <x v="14"/>
    <s v="NEED TO IMPROVE"/>
    <n v="3"/>
    <x v="0"/>
    <s v="user3@example.com"/>
    <n v="126"/>
  </r>
  <r>
    <x v="15"/>
    <s v="Bob Johnson"/>
    <x v="5"/>
    <x v="0"/>
    <n v="90271"/>
    <x v="15"/>
    <s v="NEED TO IMPROVE"/>
    <n v="0"/>
    <x v="1"/>
    <s v="user64@example.com"/>
    <n v="126"/>
  </r>
  <r>
    <x v="16"/>
    <s v="Jane Smith"/>
    <x v="1"/>
    <x v="4"/>
    <n v="41341"/>
    <x v="16"/>
    <s v="NEED TO IMPROVE"/>
    <n v="1"/>
    <x v="0"/>
    <s v="user38@example.com"/>
    <n v="126"/>
  </r>
  <r>
    <x v="17"/>
    <s v="Alice Brown"/>
    <x v="1"/>
    <x v="3"/>
    <n v="73602"/>
    <x v="17"/>
    <s v="NEED TO IMPROVE"/>
    <n v="0"/>
    <x v="1"/>
    <s v="user96@example.com"/>
    <n v="126"/>
  </r>
  <r>
    <x v="18"/>
    <s v="Eve Adams"/>
    <x v="5"/>
    <x v="2"/>
    <n v="67531"/>
    <x v="18"/>
    <s v="NEED TO IMPROVE"/>
    <n v="5"/>
    <x v="3"/>
    <s v="user151@example.com"/>
    <n v="125"/>
  </r>
  <r>
    <x v="19"/>
    <s v="Jane Smith"/>
    <x v="0"/>
    <x v="2"/>
    <n v="98922"/>
    <x v="19"/>
    <s v="NEED TO IMPROVE"/>
    <n v="4"/>
    <x v="1"/>
    <s v="user77@example.com"/>
    <n v="125"/>
  </r>
  <r>
    <x v="20"/>
    <s v="Eve Adams"/>
    <x v="1"/>
    <x v="2"/>
    <n v="38333"/>
    <x v="20"/>
    <s v="GOOD"/>
    <n v="5"/>
    <x v="1"/>
    <s v="user128@example.com"/>
    <n v="125"/>
  </r>
  <r>
    <x v="21"/>
    <s v="Alice Brown"/>
    <x v="4"/>
    <x v="3"/>
    <n v="36515"/>
    <x v="21"/>
    <s v="GOOD"/>
    <n v="3"/>
    <x v="2"/>
    <s v="user149@example.com"/>
    <n v="125"/>
  </r>
  <r>
    <x v="22"/>
    <s v="Sam Wilson"/>
    <x v="1"/>
    <x v="2"/>
    <n v="91005"/>
    <x v="22"/>
    <s v="NEED TO IMPROVE"/>
    <n v="1"/>
    <x v="0"/>
    <s v="user122@example.com"/>
    <n v="124"/>
  </r>
  <r>
    <x v="23"/>
    <s v="Chris Lee"/>
    <x v="5"/>
    <x v="5"/>
    <n v="52272"/>
    <x v="23"/>
    <s v="NEED TO IMPROVE"/>
    <n v="3"/>
    <x v="1"/>
    <s v="user41@example.com"/>
    <n v="124"/>
  </r>
  <r>
    <x v="24"/>
    <s v="Eve Adams"/>
    <x v="2"/>
    <x v="0"/>
    <n v="76518"/>
    <x v="24"/>
    <s v="NEED TO IMPROVE"/>
    <n v="2"/>
    <x v="3"/>
    <s v="user68@example.com"/>
    <n v="124"/>
  </r>
  <r>
    <x v="25"/>
    <s v="Alice Brown"/>
    <x v="3"/>
    <x v="3"/>
    <n v="41448"/>
    <x v="25"/>
    <s v="NEED TO IMPROVE"/>
    <n v="3"/>
    <x v="0"/>
    <s v="user103@example.com"/>
    <n v="124"/>
  </r>
  <r>
    <x v="26"/>
    <s v="John Doe"/>
    <x v="0"/>
    <x v="3"/>
    <n v="49282"/>
    <x v="26"/>
    <s v="NEED TO IMPROVE"/>
    <n v="2"/>
    <x v="3"/>
    <s v="user135@example.com"/>
    <n v="123"/>
  </r>
  <r>
    <x v="27"/>
    <s v="Bob Johnson"/>
    <x v="4"/>
    <x v="3"/>
    <n v="92959"/>
    <x v="27"/>
    <s v="NEED TO IMPROVE"/>
    <n v="5"/>
    <x v="1"/>
    <s v="user83@example.com"/>
    <n v="123"/>
  </r>
  <r>
    <x v="28"/>
    <s v="Unknown "/>
    <x v="4"/>
    <x v="2"/>
    <n v="92259"/>
    <x v="28"/>
    <s v="GOOD"/>
    <n v="1"/>
    <x v="1"/>
    <s v="user109@example.com"/>
    <m/>
  </r>
  <r>
    <x v="29"/>
    <s v="Eve Adams"/>
    <x v="0"/>
    <x v="0"/>
    <n v="92299"/>
    <x v="29"/>
    <s v="NEED TO IMPROVE"/>
    <n v="3"/>
    <x v="2"/>
    <s v="user143@example.com"/>
    <n v="123"/>
  </r>
  <r>
    <x v="30"/>
    <s v="Sam Wilson"/>
    <x v="0"/>
    <x v="2"/>
    <n v="95586"/>
    <x v="30"/>
    <s v="NEED TO IMPROVE"/>
    <n v="3"/>
    <x v="0"/>
    <s v="user190@example.com"/>
    <n v="123"/>
  </r>
  <r>
    <x v="31"/>
    <s v="Chris Lee"/>
    <x v="5"/>
    <x v="1"/>
    <n v="95367"/>
    <x v="31"/>
    <s v="NEED TO IMPROVE"/>
    <n v="0"/>
    <x v="2"/>
    <s v="user136@example.com"/>
    <n v="122"/>
  </r>
  <r>
    <x v="32"/>
    <s v="John Doe"/>
    <x v="2"/>
    <x v="4"/>
    <n v="79549"/>
    <x v="32"/>
    <s v="NEED TO IMPROVE"/>
    <n v="3"/>
    <x v="1"/>
    <s v="user198@example.com"/>
    <n v="122"/>
  </r>
  <r>
    <x v="33"/>
    <s v="Alice Brown"/>
    <x v="5"/>
    <x v="3"/>
    <n v="54463"/>
    <x v="33"/>
    <s v="NEED TO IMPROVE"/>
    <n v="4"/>
    <x v="2"/>
    <s v="invalid_email"/>
    <n v="122"/>
  </r>
  <r>
    <x v="34"/>
    <s v="Alice Brown"/>
    <x v="3"/>
    <x v="1"/>
    <n v="89781"/>
    <x v="34"/>
    <s v="GOOD"/>
    <n v="0"/>
    <x v="3"/>
    <s v="user31@example.com"/>
    <n v="122"/>
  </r>
  <r>
    <x v="35"/>
    <s v="Alice Brown"/>
    <x v="0"/>
    <x v="2"/>
    <n v="64796"/>
    <x v="35"/>
    <s v="NEED TO IMPROVE"/>
    <n v="0"/>
    <x v="0"/>
    <s v="user98@example.com"/>
    <n v="121"/>
  </r>
  <r>
    <x v="36"/>
    <s v="John Doe"/>
    <x v="4"/>
    <x v="3"/>
    <n v="52093"/>
    <x v="36"/>
    <s v="NEED TO IMPROVE"/>
    <n v="5"/>
    <x v="1"/>
    <s v="user154@example.com"/>
    <n v="121"/>
  </r>
  <r>
    <x v="37"/>
    <s v="Chris Lee"/>
    <x v="0"/>
    <x v="3"/>
    <n v="48224"/>
    <x v="37"/>
    <s v="GOOD"/>
    <n v="3"/>
    <x v="1"/>
    <s v="user42@example.com"/>
    <n v="121"/>
  </r>
  <r>
    <x v="38"/>
    <s v="Alice Brown"/>
    <x v="3"/>
    <x v="0"/>
    <n v="33956"/>
    <x v="38"/>
    <s v="GOOD"/>
    <n v="0"/>
    <x v="1"/>
    <s v="user47@example.com"/>
    <n v="120"/>
  </r>
  <r>
    <x v="39"/>
    <s v="Bob Johnson"/>
    <x v="5"/>
    <x v="4"/>
    <n v="64913"/>
    <x v="39"/>
    <s v="NEED TO IMPROVE"/>
    <n v="1"/>
    <x v="3"/>
    <s v="user175@example.com"/>
    <n v="120"/>
  </r>
  <r>
    <x v="40"/>
    <s v="Alice Brown"/>
    <x v="4"/>
    <x v="4"/>
    <n v="35326"/>
    <x v="40"/>
    <s v="NEED TO IMPROVE"/>
    <n v="0"/>
    <x v="3"/>
    <s v="user57@example.com"/>
    <n v="120"/>
  </r>
  <r>
    <x v="41"/>
    <s v="Chris Lee"/>
    <x v="1"/>
    <x v="2"/>
    <n v="81610"/>
    <x v="41"/>
    <s v="NEED TO IMPROVE"/>
    <n v="1"/>
    <x v="1"/>
    <s v="user20@example.com"/>
    <n v="120"/>
  </r>
  <r>
    <x v="42"/>
    <s v="Unknown "/>
    <x v="0"/>
    <x v="2"/>
    <n v="58962"/>
    <x v="42"/>
    <s v="NEED TO IMPROVE"/>
    <n v="3"/>
    <x v="0"/>
    <s v="user106@example.com"/>
    <n v="120"/>
  </r>
  <r>
    <x v="43"/>
    <s v="Chris Lee"/>
    <x v="3"/>
    <x v="0"/>
    <n v="92701"/>
    <x v="43"/>
    <s v="NEED TO IMPROVE"/>
    <n v="3"/>
    <x v="0"/>
    <s v="user199@example.com"/>
    <n v="119"/>
  </r>
  <r>
    <x v="44"/>
    <s v="Chris Lee"/>
    <x v="0"/>
    <x v="2"/>
    <n v="58245"/>
    <x v="44"/>
    <s v="NEED TO IMPROVE"/>
    <n v="4"/>
    <x v="1"/>
    <s v="user43@example.com"/>
    <n v="119"/>
  </r>
  <r>
    <x v="45"/>
    <s v="John Doe"/>
    <x v="1"/>
    <x v="2"/>
    <n v="66513"/>
    <x v="45"/>
    <s v="GOOD"/>
    <n v="2"/>
    <x v="0"/>
    <s v="user24@example.com"/>
    <n v="119"/>
  </r>
  <r>
    <x v="46"/>
    <s v="Eve Adams"/>
    <x v="0"/>
    <x v="0"/>
    <n v="78720"/>
    <x v="46"/>
    <s v="NEED TO IMPROVE"/>
    <n v="5"/>
    <x v="3"/>
    <s v="user89@example.com"/>
    <n v="119"/>
  </r>
  <r>
    <x v="47"/>
    <s v="Sam Wilson"/>
    <x v="2"/>
    <x v="2"/>
    <n v="39423"/>
    <x v="47"/>
    <s v="NEED TO IMPROVE"/>
    <n v="5"/>
    <x v="1"/>
    <s v="user59@example.com"/>
    <n v="118"/>
  </r>
  <r>
    <x v="48"/>
    <s v="Eve Adams"/>
    <x v="4"/>
    <x v="2"/>
    <n v="30280"/>
    <x v="48"/>
    <s v="GOOD"/>
    <n v="1"/>
    <x v="1"/>
    <s v="user152@example.com"/>
    <n v="118"/>
  </r>
  <r>
    <x v="49"/>
    <s v="Eve Adams"/>
    <x v="1"/>
    <x v="3"/>
    <n v="33352"/>
    <x v="49"/>
    <s v="NEED TO IMPROVE"/>
    <n v="3"/>
    <x v="3"/>
    <s v="user200@example.com"/>
    <n v="118"/>
  </r>
  <r>
    <x v="50"/>
    <s v="Bob Johnson"/>
    <x v="4"/>
    <x v="3"/>
    <n v="75633"/>
    <x v="50"/>
    <s v="NEED TO IMPROVE"/>
    <n v="5"/>
    <x v="0"/>
    <s v="user92@example.com"/>
    <n v="117"/>
  </r>
  <r>
    <x v="51"/>
    <s v="Chris Lee"/>
    <x v="5"/>
    <x v="1"/>
    <n v="74815"/>
    <x v="51"/>
    <s v="GOOD"/>
    <n v="5"/>
    <x v="3"/>
    <s v="user50@example.com"/>
    <n v="117"/>
  </r>
  <r>
    <x v="52"/>
    <s v="John Doe"/>
    <x v="2"/>
    <x v="4"/>
    <n v="60011"/>
    <x v="52"/>
    <s v="GOOD"/>
    <n v="1"/>
    <x v="2"/>
    <s v="user63@example.com"/>
    <n v="117"/>
  </r>
  <r>
    <x v="53"/>
    <s v="Eve Adams"/>
    <x v="5"/>
    <x v="2"/>
    <n v="96949"/>
    <x v="53"/>
    <s v="NEED TO IMPROVE"/>
    <n v="3"/>
    <x v="1"/>
    <s v="user103@example.com"/>
    <n v="117"/>
  </r>
  <r>
    <x v="54"/>
    <s v="Sam Wilson"/>
    <x v="4"/>
    <x v="2"/>
    <n v="84924"/>
    <x v="54"/>
    <s v="NEED TO IMPROVE"/>
    <n v="5"/>
    <x v="2"/>
    <s v="user150@example.com"/>
    <n v="117"/>
  </r>
  <r>
    <x v="55"/>
    <s v="Sam Wilson"/>
    <x v="1"/>
    <x v="1"/>
    <n v="82033"/>
    <x v="55"/>
    <s v="GOOD"/>
    <n v="1"/>
    <x v="1"/>
    <s v="user20@example.com"/>
    <n v="116"/>
  </r>
  <r>
    <x v="56"/>
    <s v="Eve Adams"/>
    <x v="5"/>
    <x v="4"/>
    <n v="31499"/>
    <x v="56"/>
    <s v="GOOD"/>
    <n v="2"/>
    <x v="1"/>
    <s v="user31@example.com"/>
    <n v="116"/>
  </r>
  <r>
    <x v="57"/>
    <s v="Chris Lee"/>
    <x v="3"/>
    <x v="3"/>
    <n v="97981"/>
    <x v="57"/>
    <s v="NEED TO IMPROVE"/>
    <n v="5"/>
    <x v="3"/>
    <s v="user71@example.com"/>
    <n v="116"/>
  </r>
  <r>
    <x v="58"/>
    <s v="Eve Adams"/>
    <x v="0"/>
    <x v="1"/>
    <n v="36541"/>
    <x v="58"/>
    <s v="GOOD"/>
    <n v="2"/>
    <x v="0"/>
    <s v="user97@example.com"/>
    <n v="115"/>
  </r>
  <r>
    <x v="59"/>
    <s v="John Doe"/>
    <x v="3"/>
    <x v="2"/>
    <n v="84737"/>
    <x v="59"/>
    <s v="NEED TO IMPROVE"/>
    <n v="1"/>
    <x v="2"/>
    <s v="user141@example.com"/>
    <n v="115"/>
  </r>
  <r>
    <x v="60"/>
    <s v="Sam Wilson"/>
    <x v="1"/>
    <x v="2"/>
    <n v="33468"/>
    <x v="60"/>
    <s v="NEED TO IMPROVE"/>
    <n v="4"/>
    <x v="2"/>
    <s v="user125@example.com"/>
    <n v="115"/>
  </r>
  <r>
    <x v="61"/>
    <s v="Sam Wilson"/>
    <x v="5"/>
    <x v="4"/>
    <n v="96365"/>
    <x v="61"/>
    <s v="GOOD"/>
    <n v="3"/>
    <x v="0"/>
    <s v="user90@example.com"/>
    <n v="115"/>
  </r>
  <r>
    <x v="62"/>
    <s v="Alice Brown"/>
    <x v="2"/>
    <x v="2"/>
    <n v="61942"/>
    <x v="62"/>
    <s v="NEED TO IMPROVE"/>
    <n v="3"/>
    <x v="3"/>
    <s v="user192@example.com"/>
    <n v="114"/>
  </r>
  <r>
    <x v="63"/>
    <s v="Sam Wilson"/>
    <x v="1"/>
    <x v="3"/>
    <n v="41467"/>
    <x v="63"/>
    <s v="NEED TO IMPROVE"/>
    <n v="2"/>
    <x v="1"/>
    <s v="user77@example.com"/>
    <n v="114"/>
  </r>
  <r>
    <x v="64"/>
    <s v="Bob Johnson"/>
    <x v="1"/>
    <x v="2"/>
    <n v="77096"/>
    <x v="64"/>
    <s v="NEED TO IMPROVE"/>
    <n v="1"/>
    <x v="1"/>
    <s v="user65@example.com"/>
    <n v="114"/>
  </r>
  <r>
    <x v="65"/>
    <s v="Eve Adams"/>
    <x v="2"/>
    <x v="4"/>
    <n v="69952"/>
    <x v="65"/>
    <s v="NEED TO IMPROVE"/>
    <n v="5"/>
    <x v="3"/>
    <s v="invalid_email"/>
    <n v="114"/>
  </r>
  <r>
    <x v="66"/>
    <s v="Eve Adams"/>
    <x v="4"/>
    <x v="1"/>
    <n v="85065"/>
    <x v="66"/>
    <s v="GOOD"/>
    <n v="3"/>
    <x v="1"/>
    <s v="user142@example.com"/>
    <n v="114"/>
  </r>
  <r>
    <x v="67"/>
    <s v="Bob Johnson"/>
    <x v="4"/>
    <x v="2"/>
    <n v="56512"/>
    <x v="67"/>
    <s v="NEED TO IMPROVE"/>
    <n v="0"/>
    <x v="0"/>
    <s v="user153@example.com"/>
    <n v="113"/>
  </r>
  <r>
    <x v="68"/>
    <s v="John Doe"/>
    <x v="2"/>
    <x v="2"/>
    <n v="91101"/>
    <x v="68"/>
    <s v="NEED TO IMPROVE"/>
    <n v="4"/>
    <x v="3"/>
    <s v="user71@example.com"/>
    <n v="113"/>
  </r>
  <r>
    <x v="69"/>
    <s v="Sam Wilson"/>
    <x v="5"/>
    <x v="0"/>
    <n v="41243"/>
    <x v="69"/>
    <s v="GOOD"/>
    <n v="0"/>
    <x v="1"/>
    <s v="user143@example.com"/>
    <n v="113"/>
  </r>
  <r>
    <x v="70"/>
    <s v="Unknown "/>
    <x v="2"/>
    <x v="5"/>
    <n v="96142"/>
    <x v="70"/>
    <s v="NEED TO IMPROVE"/>
    <n v="1"/>
    <x v="0"/>
    <s v="user17@example.com"/>
    <n v="113"/>
  </r>
  <r>
    <x v="71"/>
    <s v="Eve Adams"/>
    <x v="3"/>
    <x v="2"/>
    <n v="94301"/>
    <x v="71"/>
    <s v="NEED TO IMPROVE"/>
    <n v="1"/>
    <x v="2"/>
    <s v="user20@example.com"/>
    <n v="112"/>
  </r>
  <r>
    <x v="72"/>
    <s v="Jane Smith"/>
    <x v="5"/>
    <x v="3"/>
    <n v="69166"/>
    <x v="72"/>
    <s v="NEED TO IMPROVE"/>
    <n v="1"/>
    <x v="3"/>
    <s v="user22@example.com"/>
    <n v="112"/>
  </r>
  <r>
    <x v="73"/>
    <s v="Sam Wilson"/>
    <x v="5"/>
    <x v="3"/>
    <n v="78245"/>
    <x v="73"/>
    <s v="NEED TO IMPROVE"/>
    <n v="2"/>
    <x v="1"/>
    <s v="user46@example.com"/>
    <n v="112"/>
  </r>
  <r>
    <x v="74"/>
    <s v="Chris Lee"/>
    <x v="2"/>
    <x v="1"/>
    <n v="66079"/>
    <x v="74"/>
    <s v="NEED TO IMPROVE"/>
    <n v="2"/>
    <x v="0"/>
    <s v="user55@example.com"/>
    <n v="112"/>
  </r>
  <r>
    <x v="75"/>
    <s v="Jane Smith"/>
    <x v="2"/>
    <x v="1"/>
    <n v="95621"/>
    <x v="75"/>
    <s v="NEED TO IMPROVE"/>
    <n v="3"/>
    <x v="3"/>
    <s v="user156@example.com"/>
    <n v="111"/>
  </r>
  <r>
    <x v="76"/>
    <s v="Eve Adams"/>
    <x v="3"/>
    <x v="3"/>
    <n v="42262"/>
    <x v="76"/>
    <s v="NEED TO IMPROVE"/>
    <n v="1"/>
    <x v="1"/>
    <s v="user104@example.com"/>
    <n v="111"/>
  </r>
  <r>
    <x v="77"/>
    <s v="Sam Wilson"/>
    <x v="2"/>
    <x v="2"/>
    <n v="99621"/>
    <x v="77"/>
    <s v="NEED TO IMPROVE"/>
    <n v="0"/>
    <x v="0"/>
    <s v="user145@example.com"/>
    <n v="111"/>
  </r>
  <r>
    <x v="78"/>
    <s v="John Doe"/>
    <x v="4"/>
    <x v="2"/>
    <n v="44682"/>
    <x v="78"/>
    <s v="NEED TO IMPROVE"/>
    <n v="4"/>
    <x v="3"/>
    <s v="user47@example.com"/>
    <n v="111"/>
  </r>
  <r>
    <x v="79"/>
    <s v="Chris Lee"/>
    <x v="1"/>
    <x v="2"/>
    <n v="35163"/>
    <x v="79"/>
    <s v="GOOD"/>
    <n v="5"/>
    <x v="0"/>
    <s v="user197@example.com"/>
    <n v="110"/>
  </r>
  <r>
    <x v="80"/>
    <s v="Chris Lee"/>
    <x v="3"/>
    <x v="2"/>
    <n v="33483"/>
    <x v="80"/>
    <s v="GOOD"/>
    <n v="4"/>
    <x v="2"/>
    <s v="user177@example.com"/>
    <n v="110"/>
  </r>
  <r>
    <x v="81"/>
    <s v="Sam Wilson"/>
    <x v="0"/>
    <x v="0"/>
    <n v="55303"/>
    <x v="81"/>
    <s v="GOOD"/>
    <n v="4"/>
    <x v="2"/>
    <s v="user149@example.com"/>
    <n v="110"/>
  </r>
  <r>
    <x v="82"/>
    <s v="Chris Lee"/>
    <x v="3"/>
    <x v="2"/>
    <n v="63434"/>
    <x v="82"/>
    <s v="GOOD"/>
    <n v="3"/>
    <x v="1"/>
    <s v="user48@example.com"/>
    <n v="110"/>
  </r>
  <r>
    <x v="83"/>
    <s v="Jane Smith"/>
    <x v="5"/>
    <x v="4"/>
    <n v="38830"/>
    <x v="83"/>
    <s v="NEED TO IMPROVE"/>
    <n v="3"/>
    <x v="0"/>
    <s v="user149@example.com"/>
    <n v="109"/>
  </r>
  <r>
    <x v="84"/>
    <s v="Unknown "/>
    <x v="4"/>
    <x v="3"/>
    <n v="50741"/>
    <x v="84"/>
    <s v="NEED TO IMPROVE"/>
    <n v="3"/>
    <x v="1"/>
    <s v="user65@example.com"/>
    <n v="109"/>
  </r>
  <r>
    <x v="85"/>
    <s v="Alice Brown"/>
    <x v="0"/>
    <x v="4"/>
    <n v="69420"/>
    <x v="85"/>
    <s v="NEED TO IMPROVE"/>
    <n v="1"/>
    <x v="2"/>
    <s v="user43@example.com"/>
    <n v="109"/>
  </r>
  <r>
    <x v="86"/>
    <s v="Jane Smith"/>
    <x v="3"/>
    <x v="2"/>
    <n v="80588"/>
    <x v="86"/>
    <s v="NEED TO IMPROVE"/>
    <n v="5"/>
    <x v="2"/>
    <s v="user98@example.com"/>
    <n v="109"/>
  </r>
  <r>
    <x v="87"/>
    <s v="Alice Brown"/>
    <x v="5"/>
    <x v="1"/>
    <n v="76238"/>
    <x v="87"/>
    <s v="GOOD"/>
    <n v="4"/>
    <x v="2"/>
    <s v="user102@example.com"/>
    <n v="109"/>
  </r>
  <r>
    <x v="88"/>
    <s v="Bob Johnson"/>
    <x v="3"/>
    <x v="2"/>
    <n v="33264"/>
    <x v="88"/>
    <s v="GOOD"/>
    <n v="0"/>
    <x v="3"/>
    <s v="user148@example.com"/>
    <n v="108"/>
  </r>
  <r>
    <x v="89"/>
    <s v="Alice Brown"/>
    <x v="1"/>
    <x v="4"/>
    <n v="96101"/>
    <x v="89"/>
    <s v="NEED TO IMPROVE"/>
    <n v="0"/>
    <x v="0"/>
    <s v="user155@example.com"/>
    <n v="108"/>
  </r>
  <r>
    <x v="90"/>
    <s v="Jane Smith"/>
    <x v="1"/>
    <x v="1"/>
    <n v="72939"/>
    <x v="90"/>
    <s v="NEED TO IMPROVE"/>
    <n v="3"/>
    <x v="1"/>
    <s v="user191@example.com"/>
    <n v="108"/>
  </r>
  <r>
    <x v="91"/>
    <s v="Sam Wilson"/>
    <x v="0"/>
    <x v="0"/>
    <n v="89333"/>
    <x v="91"/>
    <s v="NEED TO IMPROVE"/>
    <n v="1"/>
    <x v="2"/>
    <s v="user113@example.com"/>
    <n v="108"/>
  </r>
  <r>
    <x v="92"/>
    <s v="Bob Johnson"/>
    <x v="3"/>
    <x v="4"/>
    <n v="70470"/>
    <x v="92"/>
    <s v="NEED TO IMPROVE"/>
    <n v="0"/>
    <x v="2"/>
    <s v="user62@example.com"/>
    <n v="107"/>
  </r>
  <r>
    <x v="93"/>
    <s v="Eve Adams"/>
    <x v="4"/>
    <x v="1"/>
    <n v="70096"/>
    <x v="93"/>
    <s v="NEED TO IMPROVE"/>
    <n v="4"/>
    <x v="2"/>
    <s v="user76@example.com"/>
    <n v="107"/>
  </r>
  <r>
    <x v="94"/>
    <s v="Bob Johnson"/>
    <x v="3"/>
    <x v="0"/>
    <n v="66503"/>
    <x v="94"/>
    <s v="NEED TO IMPROVE"/>
    <n v="0"/>
    <x v="2"/>
    <s v="user200@example.com"/>
    <n v="107"/>
  </r>
  <r>
    <x v="95"/>
    <s v="Alice Brown"/>
    <x v="0"/>
    <x v="0"/>
    <n v="42096"/>
    <x v="95"/>
    <s v="NEED TO IMPROVE"/>
    <n v="0"/>
    <x v="3"/>
    <s v="user54@example.com"/>
    <n v="106"/>
  </r>
  <r>
    <x v="96"/>
    <s v="Alice Brown"/>
    <x v="4"/>
    <x v="2"/>
    <n v="79145"/>
    <x v="96"/>
    <s v="NEED TO IMPROVE"/>
    <n v="5"/>
    <x v="0"/>
    <s v="user20@example.com"/>
    <n v="106"/>
  </r>
  <r>
    <x v="97"/>
    <s v="Jane Smith"/>
    <x v="5"/>
    <x v="4"/>
    <n v="61556"/>
    <x v="97"/>
    <s v="GOOD"/>
    <n v="1"/>
    <x v="1"/>
    <s v="user40@example.com"/>
    <n v="106"/>
  </r>
  <r>
    <x v="98"/>
    <s v="Unknown "/>
    <x v="0"/>
    <x v="3"/>
    <n v="87963"/>
    <x v="98"/>
    <s v="NEED TO IMPROVE"/>
    <n v="3"/>
    <x v="0"/>
    <s v="invalid_email"/>
    <n v="106"/>
  </r>
  <r>
    <x v="99"/>
    <s v="Eve Adams"/>
    <x v="3"/>
    <x v="2"/>
    <n v="48325"/>
    <x v="99"/>
    <s v="NEED TO IMPROVE"/>
    <n v="0"/>
    <x v="2"/>
    <s v="user189@example.com"/>
    <n v="106"/>
  </r>
  <r>
    <x v="100"/>
    <s v="Sam Wilson"/>
    <x v="4"/>
    <x v="4"/>
    <n v="86412"/>
    <x v="100"/>
    <s v="NEED TO IMPROVE"/>
    <n v="2"/>
    <x v="3"/>
    <s v="user128@example.com"/>
    <n v="105"/>
  </r>
  <r>
    <x v="101"/>
    <s v="Sam Wilson"/>
    <x v="0"/>
    <x v="2"/>
    <n v="66761"/>
    <x v="101"/>
    <s v="NEED TO IMPROVE"/>
    <n v="1"/>
    <x v="1"/>
    <s v="user93@example.com"/>
    <n v="105"/>
  </r>
  <r>
    <x v="102"/>
    <s v="Jane Smith"/>
    <x v="5"/>
    <x v="2"/>
    <n v="88850"/>
    <x v="102"/>
    <s v="NEED TO IMPROVE"/>
    <n v="1"/>
    <x v="3"/>
    <s v="user174@example.com"/>
    <n v="105"/>
  </r>
  <r>
    <x v="103"/>
    <s v="Chris Lee"/>
    <x v="3"/>
    <x v="1"/>
    <n v="34306"/>
    <x v="103"/>
    <s v="NEED TO IMPROVE"/>
    <n v="5"/>
    <x v="3"/>
    <s v="user192@example.com"/>
    <n v="104"/>
  </r>
  <r>
    <x v="104"/>
    <s v="Eve Adams"/>
    <x v="1"/>
    <x v="2"/>
    <n v="78330"/>
    <x v="104"/>
    <s v="GOOD"/>
    <n v="0"/>
    <x v="0"/>
    <s v="user76@example.com"/>
    <n v="104"/>
  </r>
  <r>
    <x v="105"/>
    <s v="Alice Brown"/>
    <x v="3"/>
    <x v="1"/>
    <n v="47653"/>
    <x v="105"/>
    <s v="NEED TO IMPROVE"/>
    <n v="1"/>
    <x v="2"/>
    <s v="user82@example.com"/>
    <n v="104"/>
  </r>
  <r>
    <x v="106"/>
    <s v="Eve Adams"/>
    <x v="4"/>
    <x v="3"/>
    <n v="44627"/>
    <x v="106"/>
    <s v="NEED TO IMPROVE"/>
    <n v="4"/>
    <x v="1"/>
    <s v="user97@example.com"/>
    <n v="104"/>
  </r>
  <r>
    <x v="107"/>
    <s v="Bob Johnson"/>
    <x v="0"/>
    <x v="0"/>
    <n v="92343"/>
    <x v="107"/>
    <s v="GOOD"/>
    <n v="4"/>
    <x v="3"/>
    <s v="user149@example.com"/>
    <n v="103"/>
  </r>
  <r>
    <x v="108"/>
    <s v="Bob Johnson"/>
    <x v="4"/>
    <x v="4"/>
    <n v="38837"/>
    <x v="108"/>
    <s v="GOOD"/>
    <n v="5"/>
    <x v="3"/>
    <s v="user192@example.com"/>
    <n v="103"/>
  </r>
  <r>
    <x v="109"/>
    <s v="Bob Johnson"/>
    <x v="4"/>
    <x v="2"/>
    <n v="73483"/>
    <x v="109"/>
    <s v="GOOD"/>
    <n v="1"/>
    <x v="1"/>
    <s v="user137@example.com"/>
    <n v="103"/>
  </r>
  <r>
    <x v="110"/>
    <s v="Chris Lee"/>
    <x v="2"/>
    <x v="2"/>
    <n v="95032"/>
    <x v="110"/>
    <s v="NEED TO IMPROVE"/>
    <n v="3"/>
    <x v="1"/>
    <s v="user23@example.com"/>
    <n v="103"/>
  </r>
  <r>
    <x v="111"/>
    <s v="Eve Adams"/>
    <x v="2"/>
    <x v="4"/>
    <n v="44358"/>
    <x v="111"/>
    <s v="NEED TO IMPROVE"/>
    <n v="0"/>
    <x v="3"/>
    <s v="user200@example.com"/>
    <n v="103"/>
  </r>
  <r>
    <x v="112"/>
    <s v="Chris Lee"/>
    <x v="2"/>
    <x v="1"/>
    <n v="45676"/>
    <x v="112"/>
    <s v="GOOD"/>
    <n v="2"/>
    <x v="1"/>
    <s v="user132@example.com"/>
    <n v="102"/>
  </r>
  <r>
    <x v="113"/>
    <s v="Bob Johnson"/>
    <x v="2"/>
    <x v="0"/>
    <n v="52036"/>
    <x v="113"/>
    <s v="NEED TO IMPROVE"/>
    <n v="3"/>
    <x v="2"/>
    <s v="user171@example.com"/>
    <n v="102"/>
  </r>
  <r>
    <x v="114"/>
    <s v="Jane Smith"/>
    <x v="5"/>
    <x v="0"/>
    <n v="30357"/>
    <x v="114"/>
    <s v="NEED TO IMPROVE"/>
    <n v="5"/>
    <x v="2"/>
    <s v="user145@example.com"/>
    <n v="102"/>
  </r>
  <r>
    <x v="115"/>
    <s v="John Doe"/>
    <x v="3"/>
    <x v="2"/>
    <n v="60034"/>
    <x v="115"/>
    <s v="GOOD"/>
    <n v="1"/>
    <x v="3"/>
    <s v="user75@example.com"/>
    <n v="101"/>
  </r>
  <r>
    <x v="116"/>
    <s v="John Doe"/>
    <x v="1"/>
    <x v="5"/>
    <n v="90019"/>
    <x v="116"/>
    <s v="NEED TO IMPROVE"/>
    <n v="5"/>
    <x v="1"/>
    <s v="user52@example.com"/>
    <n v="101"/>
  </r>
  <r>
    <x v="117"/>
    <s v="Bob Johnson"/>
    <x v="5"/>
    <x v="0"/>
    <n v="71494"/>
    <x v="117"/>
    <s v="GOOD"/>
    <n v="3"/>
    <x v="2"/>
    <s v="user100@example.com"/>
    <n v="101"/>
  </r>
  <r>
    <x v="118"/>
    <s v="John Doe"/>
    <x v="1"/>
    <x v="1"/>
    <n v="91953"/>
    <x v="118"/>
    <s v="NEED TO IMPROVE"/>
    <n v="2"/>
    <x v="2"/>
    <s v="user83@example.com"/>
    <n v="101"/>
  </r>
  <r>
    <x v="119"/>
    <s v="Chris Lee"/>
    <x v="2"/>
    <x v="1"/>
    <n v="30402"/>
    <x v="119"/>
    <s v="NEED TO IMPROVE"/>
    <n v="1"/>
    <x v="1"/>
    <s v="user167@example.com"/>
    <n v="100"/>
  </r>
  <r>
    <x v="120"/>
    <s v="Bob Johnson"/>
    <x v="5"/>
    <x v="3"/>
    <n v="62994"/>
    <x v="120"/>
    <s v="NEED TO IMPROVE"/>
    <n v="0"/>
    <x v="1"/>
    <s v="user175@example.com"/>
    <n v="100"/>
  </r>
  <r>
    <x v="121"/>
    <s v="Sam Wilson"/>
    <x v="4"/>
    <x v="0"/>
    <n v="34402"/>
    <x v="121"/>
    <s v="NEED TO IMPROVE"/>
    <n v="3"/>
    <x v="0"/>
    <s v="user42@example.com"/>
    <n v="100"/>
  </r>
  <r>
    <x v="122"/>
    <s v="Eve Adams"/>
    <x v="0"/>
    <x v="1"/>
    <n v="38678"/>
    <x v="122"/>
    <s v="NEED TO IMPROVE"/>
    <n v="3"/>
    <x v="0"/>
    <s v="user188@example.com"/>
    <n v="100"/>
  </r>
  <r>
    <x v="123"/>
    <s v="Chris Lee"/>
    <x v="0"/>
    <x v="0"/>
    <n v="45758"/>
    <x v="123"/>
    <s v="NEED TO IMPROVE"/>
    <n v="3"/>
    <x v="1"/>
    <s v="user44@example.com"/>
    <n v="99"/>
  </r>
  <r>
    <x v="124"/>
    <s v="Eve Adams"/>
    <x v="4"/>
    <x v="2"/>
    <n v="62476"/>
    <x v="124"/>
    <s v="NEED TO IMPROVE"/>
    <n v="1"/>
    <x v="0"/>
    <s v="user63@example.com"/>
    <n v="99"/>
  </r>
  <r>
    <x v="125"/>
    <s v="Unknown "/>
    <x v="3"/>
    <x v="3"/>
    <n v="39280"/>
    <x v="125"/>
    <s v="NEED TO IMPROVE"/>
    <n v="3"/>
    <x v="3"/>
    <s v="user198@example.com"/>
    <n v="99"/>
  </r>
  <r>
    <x v="126"/>
    <s v="Jane Smith"/>
    <x v="1"/>
    <x v="2"/>
    <n v="60335"/>
    <x v="126"/>
    <s v="NEED TO IMPROVE"/>
    <n v="4"/>
    <x v="0"/>
    <s v="user59@example.com"/>
    <n v="99"/>
  </r>
  <r>
    <x v="127"/>
    <s v="Chris Lee"/>
    <x v="0"/>
    <x v="0"/>
    <n v="84968"/>
    <x v="127"/>
    <s v="GOOD"/>
    <n v="0"/>
    <x v="1"/>
    <s v="user165@example.com"/>
    <n v="98"/>
  </r>
  <r>
    <x v="128"/>
    <s v="Chris Lee"/>
    <x v="4"/>
    <x v="4"/>
    <n v="84750"/>
    <x v="128"/>
    <s v="NEED TO IMPROVE"/>
    <n v="4"/>
    <x v="3"/>
    <s v="user3@example.com"/>
    <n v="98"/>
  </r>
  <r>
    <x v="129"/>
    <s v="Bob Johnson"/>
    <x v="3"/>
    <x v="2"/>
    <n v="73348"/>
    <x v="129"/>
    <s v="GOOD"/>
    <n v="2"/>
    <x v="1"/>
    <s v="user22@example.com"/>
    <n v="98"/>
  </r>
  <r>
    <x v="130"/>
    <s v="Jane Smith"/>
    <x v="4"/>
    <x v="1"/>
    <n v="66882"/>
    <x v="130"/>
    <s v="GOOD"/>
    <n v="5"/>
    <x v="0"/>
    <s v="user103@example.com"/>
    <n v="97"/>
  </r>
  <r>
    <x v="131"/>
    <s v="Alice Brown"/>
    <x v="4"/>
    <x v="2"/>
    <n v="86775"/>
    <x v="131"/>
    <s v="GOOD"/>
    <n v="3"/>
    <x v="0"/>
    <s v="user190@example.com"/>
    <n v="97"/>
  </r>
  <r>
    <x v="132"/>
    <s v="Chris Lee"/>
    <x v="2"/>
    <x v="3"/>
    <n v="91620"/>
    <x v="132"/>
    <s v="NEED TO IMPROVE"/>
    <n v="0"/>
    <x v="1"/>
    <s v="user114@example.com"/>
    <n v="97"/>
  </r>
  <r>
    <x v="133"/>
    <s v="Eve Adams"/>
    <x v="5"/>
    <x v="2"/>
    <n v="94148"/>
    <x v="133"/>
    <s v="NEED TO IMPROVE"/>
    <n v="2"/>
    <x v="1"/>
    <s v="user53@example.com"/>
    <n v="97"/>
  </r>
  <r>
    <x v="134"/>
    <s v="Sam Wilson"/>
    <x v="2"/>
    <x v="4"/>
    <n v="35627"/>
    <x v="134"/>
    <s v="NEED TO IMPROVE"/>
    <n v="5"/>
    <x v="3"/>
    <s v="user188@example.com"/>
    <n v="97"/>
  </r>
  <r>
    <x v="135"/>
    <s v="John Doe"/>
    <x v="4"/>
    <x v="1"/>
    <n v="57141"/>
    <x v="135"/>
    <s v="GOOD"/>
    <n v="2"/>
    <x v="1"/>
    <s v="user165@example.com"/>
    <n v="96"/>
  </r>
  <r>
    <x v="136"/>
    <s v="Bob Johnson"/>
    <x v="2"/>
    <x v="4"/>
    <n v="65270"/>
    <x v="136"/>
    <s v="NEED TO IMPROVE"/>
    <n v="1"/>
    <x v="1"/>
    <s v="user163@example.com"/>
    <n v="96"/>
  </r>
  <r>
    <x v="137"/>
    <s v="Bob Johnson"/>
    <x v="5"/>
    <x v="3"/>
    <n v="67335"/>
    <x v="137"/>
    <s v="NEED TO IMPROVE"/>
    <n v="1"/>
    <x v="0"/>
    <s v="user112@example.com"/>
    <n v="96"/>
  </r>
  <r>
    <x v="138"/>
    <s v="Sam Wilson"/>
    <x v="4"/>
    <x v="2"/>
    <n v="98475"/>
    <x v="138"/>
    <s v="NEED TO IMPROVE"/>
    <n v="5"/>
    <x v="0"/>
    <s v="user30@example.com"/>
    <n v="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EMP1001"/>
    <s v="Eve Adams"/>
    <x v="0"/>
    <x v="0"/>
    <x v="0"/>
    <d v="2015-01-11T00:00:00"/>
    <s v="GOOD"/>
    <x v="0"/>
    <s v="Other"/>
    <s v="user106@example.com"/>
  </r>
  <r>
    <s v="EMP1002"/>
    <s v="Alice Brown"/>
    <x v="1"/>
    <x v="0"/>
    <x v="1"/>
    <d v="2015-01-18T00:00:00"/>
    <s v="NEED TO IMPROVE"/>
    <x v="1"/>
    <s v="Unknown"/>
    <s v="user176@example.com"/>
  </r>
  <r>
    <s v="EMP1003"/>
    <s v="John Doe"/>
    <x v="2"/>
    <x v="1"/>
    <x v="2"/>
    <d v="2015-01-25T00:00:00"/>
    <s v="NEED TO IMPROVE"/>
    <x v="0"/>
    <s v="Male"/>
    <s v="user168@example.com"/>
  </r>
  <r>
    <s v="EMP1004"/>
    <s v="Jane Smith"/>
    <x v="2"/>
    <x v="0"/>
    <x v="3"/>
    <d v="2015-02-01T00:00:00"/>
    <s v="NEED TO IMPROVE"/>
    <x v="0"/>
    <s v="Male"/>
    <s v="user49@example.com"/>
  </r>
  <r>
    <s v="EMP1005"/>
    <s v="Alice Brown"/>
    <x v="3"/>
    <x v="2"/>
    <x v="4"/>
    <d v="2015-02-08T00:00:00"/>
    <s v="NEED TO IMPROVE"/>
    <x v="1"/>
    <s v="Female"/>
    <s v="user24@example.com"/>
  </r>
  <r>
    <s v="EMP1006"/>
    <s v="Sam Wilson"/>
    <x v="2"/>
    <x v="2"/>
    <x v="5"/>
    <d v="2015-02-15T00:00:00"/>
    <s v="NEED TO IMPROVE"/>
    <x v="2"/>
    <s v="Male"/>
    <s v="user168@example.com"/>
  </r>
  <r>
    <s v="EMP1007"/>
    <s v="Chris Lee"/>
    <x v="4"/>
    <x v="2"/>
    <x v="6"/>
    <d v="2015-02-22T00:00:00"/>
    <s v="NEED TO IMPROVE"/>
    <x v="1"/>
    <s v="Other"/>
    <s v="user26@example.com"/>
  </r>
  <r>
    <s v="EMP1008"/>
    <s v="Alice Brown"/>
    <x v="3"/>
    <x v="0"/>
    <x v="7"/>
    <d v="2015-03-01T00:00:00"/>
    <s v="NEED TO IMPROVE"/>
    <x v="2"/>
    <s v="Female"/>
    <s v="user25@example.com"/>
  </r>
  <r>
    <s v="EMP1009"/>
    <s v="Chris Lee"/>
    <x v="0"/>
    <x v="3"/>
    <x v="8"/>
    <d v="2015-03-08T00:00:00"/>
    <s v="NEED TO IMPROVE"/>
    <x v="2"/>
    <s v="Male"/>
    <s v="user153@example.com"/>
  </r>
  <r>
    <s v="EMP1010"/>
    <s v="Sam Wilson"/>
    <x v="1"/>
    <x v="3"/>
    <x v="9"/>
    <d v="2015-03-15T00:00:00"/>
    <s v="NEED TO IMPROVE"/>
    <x v="0"/>
    <s v="Female"/>
    <s v="user18@example.com"/>
  </r>
  <r>
    <s v="EMP1011"/>
    <s v="Sam Wilson"/>
    <x v="3"/>
    <x v="1"/>
    <x v="10"/>
    <d v="2015-03-22T00:00:00"/>
    <s v="NEED TO IMPROVE"/>
    <x v="3"/>
    <s v="Male"/>
    <s v="user1@example.com"/>
  </r>
  <r>
    <s v="EMP1012"/>
    <s v="Bob Johnson"/>
    <x v="2"/>
    <x v="2"/>
    <x v="11"/>
    <d v="2015-03-29T00:00:00"/>
    <s v="GOOD"/>
    <x v="3"/>
    <s v="Male"/>
    <s v="user106@example.com"/>
  </r>
  <r>
    <s v="EMP1013"/>
    <s v="Sam Wilson"/>
    <x v="5"/>
    <x v="2"/>
    <x v="12"/>
    <d v="2015-04-05T00:00:00"/>
    <s v="GOOD"/>
    <x v="4"/>
    <s v="Unknown"/>
    <s v="user180@example.com"/>
  </r>
  <r>
    <s v="EMP1014"/>
    <s v="Jane Smith"/>
    <x v="0"/>
    <x v="2"/>
    <x v="13"/>
    <d v="2015-04-12T00:00:00"/>
    <s v="GOOD"/>
    <x v="1"/>
    <s v="Male"/>
    <s v="user184@example.com"/>
  </r>
  <r>
    <s v="EMP1015"/>
    <s v="Unknown"/>
    <x v="3"/>
    <x v="2"/>
    <x v="14"/>
    <d v="2015-04-19T00:00:00"/>
    <s v="NEED TO IMPROVE"/>
    <x v="5"/>
    <s v="Other"/>
    <s v="user3@example.com"/>
  </r>
  <r>
    <s v="EMP1016"/>
    <s v="Bob Johnson"/>
    <x v="5"/>
    <x v="0"/>
    <x v="15"/>
    <d v="2015-04-26T00:00:00"/>
    <s v="NEED TO IMPROVE"/>
    <x v="2"/>
    <s v="Unknown"/>
    <s v="user64@example.com"/>
  </r>
  <r>
    <s v="EMP1017"/>
    <s v="Jane Smith"/>
    <x v="1"/>
    <x v="4"/>
    <x v="16"/>
    <d v="2015-05-03T00:00:00"/>
    <s v="NEED TO IMPROVE"/>
    <x v="0"/>
    <s v="Other"/>
    <s v="user38@example.com"/>
  </r>
  <r>
    <s v="EMP1018"/>
    <s v="Alice Brown"/>
    <x v="1"/>
    <x v="3"/>
    <x v="17"/>
    <d v="2015-05-10T00:00:00"/>
    <s v="NEED TO IMPROVE"/>
    <x v="2"/>
    <s v="Unknown"/>
    <s v="user96@example.com"/>
  </r>
  <r>
    <s v="EMP1019"/>
    <s v="Eve Adams"/>
    <x v="5"/>
    <x v="2"/>
    <x v="18"/>
    <d v="2015-05-17T00:00:00"/>
    <s v="NEED TO IMPROVE"/>
    <x v="3"/>
    <s v="Female"/>
    <s v="user151@example.com"/>
  </r>
  <r>
    <s v="EMP1020"/>
    <s v="Jane Smith"/>
    <x v="0"/>
    <x v="1"/>
    <x v="19"/>
    <d v="2015-05-24T00:00:00"/>
    <s v="GOOD"/>
    <x v="1"/>
    <s v="Other"/>
    <s v="user200@example.com"/>
  </r>
  <r>
    <s v="EMP1021"/>
    <s v="Jane Smith"/>
    <x v="0"/>
    <x v="2"/>
    <x v="20"/>
    <d v="2015-05-31T00:00:00"/>
    <s v="NEED TO IMPROVE"/>
    <x v="4"/>
    <s v="Unknown"/>
    <s v="user77@example.com"/>
  </r>
  <r>
    <s v="EMP1022"/>
    <s v="Eve Adams"/>
    <x v="1"/>
    <x v="2"/>
    <x v="21"/>
    <d v="2015-06-07T00:00:00"/>
    <s v="GOOD"/>
    <x v="3"/>
    <s v="Unknown"/>
    <s v="user128@example.com"/>
  </r>
  <r>
    <s v="EMP1023"/>
    <s v="Alice Brown"/>
    <x v="4"/>
    <x v="3"/>
    <x v="22"/>
    <d v="2015-06-14T00:00:00"/>
    <s v="GOOD"/>
    <x v="5"/>
    <s v="Male"/>
    <s v="user149@example.com"/>
  </r>
  <r>
    <s v="EMP1024"/>
    <s v="Sam Wilson"/>
    <x v="1"/>
    <x v="2"/>
    <x v="23"/>
    <d v="2015-06-21T00:00:00"/>
    <s v="NEED TO IMPROVE"/>
    <x v="0"/>
    <s v="Other"/>
    <s v="user122@example.com"/>
  </r>
  <r>
    <s v="EMP1025"/>
    <s v="Chris Lee"/>
    <x v="5"/>
    <x v="5"/>
    <x v="24"/>
    <d v="2015-06-28T00:00:00"/>
    <s v="NEED TO IMPROVE"/>
    <x v="5"/>
    <s v="Unknown"/>
    <s v="user41@example.com"/>
  </r>
  <r>
    <s v="EMP1026"/>
    <s v="Eve Adams"/>
    <x v="2"/>
    <x v="0"/>
    <x v="25"/>
    <d v="2015-07-05T00:00:00"/>
    <s v="NEED TO IMPROVE"/>
    <x v="1"/>
    <s v="Female"/>
    <s v="user68@example.com"/>
  </r>
  <r>
    <s v="EMP1027"/>
    <s v="Alice Brown"/>
    <x v="3"/>
    <x v="3"/>
    <x v="26"/>
    <d v="2015-07-12T00:00:00"/>
    <s v="NEED TO IMPROVE"/>
    <x v="5"/>
    <s v="Other"/>
    <s v="user103@example.com"/>
  </r>
  <r>
    <s v="EMP1028"/>
    <s v="John Doe"/>
    <x v="0"/>
    <x v="3"/>
    <x v="27"/>
    <d v="2015-07-19T00:00:00"/>
    <s v="NEED TO IMPROVE"/>
    <x v="1"/>
    <s v="Female"/>
    <s v="user135@example.com"/>
  </r>
  <r>
    <s v="EMP1029"/>
    <s v="Bob Johnson"/>
    <x v="4"/>
    <x v="3"/>
    <x v="28"/>
    <d v="2015-07-26T00:00:00"/>
    <s v="NEED TO IMPROVE"/>
    <x v="3"/>
    <s v="Unknown"/>
    <s v="user83@example.com"/>
  </r>
  <r>
    <s v="EMP1030"/>
    <s v="Unknown"/>
    <x v="4"/>
    <x v="2"/>
    <x v="29"/>
    <s v="Not found"/>
    <s v="GOOD"/>
    <x v="0"/>
    <s v="Unknown"/>
    <s v="user109@example.com"/>
  </r>
  <r>
    <s v="EMP1031"/>
    <s v="Eve Adams"/>
    <x v="0"/>
    <x v="0"/>
    <x v="30"/>
    <d v="2015-08-09T00:00:00"/>
    <s v="NEED TO IMPROVE"/>
    <x v="5"/>
    <s v="Male"/>
    <s v="user143@example.com"/>
  </r>
  <r>
    <s v="EMP1032"/>
    <s v="Sam Wilson"/>
    <x v="0"/>
    <x v="2"/>
    <x v="31"/>
    <d v="2015-08-16T00:00:00"/>
    <s v="NEED TO IMPROVE"/>
    <x v="5"/>
    <s v="Other"/>
    <s v="user190@example.com"/>
  </r>
  <r>
    <s v="EMP1033"/>
    <s v="Chris Lee"/>
    <x v="5"/>
    <x v="1"/>
    <x v="32"/>
    <d v="2015-08-23T00:00:00"/>
    <s v="NEED TO IMPROVE"/>
    <x v="2"/>
    <s v="Male"/>
    <s v="user136@example.com"/>
  </r>
  <r>
    <s v="EMP1034"/>
    <s v="John Doe"/>
    <x v="2"/>
    <x v="4"/>
    <x v="33"/>
    <d v="2015-08-30T00:00:00"/>
    <s v="NEED TO IMPROVE"/>
    <x v="5"/>
    <s v="Unknown"/>
    <s v="user198@example.com"/>
  </r>
  <r>
    <s v="EMP1035"/>
    <s v="Alice Brown"/>
    <x v="5"/>
    <x v="3"/>
    <x v="34"/>
    <d v="2015-09-06T00:00:00"/>
    <s v="NEED TO IMPROVE"/>
    <x v="4"/>
    <s v="Male"/>
    <s v="invalid_email"/>
  </r>
  <r>
    <s v="EMP1036"/>
    <s v="Alice Brown"/>
    <x v="3"/>
    <x v="1"/>
    <x v="35"/>
    <d v="2015-09-13T00:00:00"/>
    <s v="GOOD"/>
    <x v="2"/>
    <s v="Female"/>
    <s v="user31@example.com"/>
  </r>
  <r>
    <s v="EMP1037"/>
    <s v="Alice Brown"/>
    <x v="0"/>
    <x v="2"/>
    <x v="36"/>
    <d v="2015-09-20T00:00:00"/>
    <s v="NEED TO IMPROVE"/>
    <x v="2"/>
    <s v="Other"/>
    <s v="user98@example.com"/>
  </r>
  <r>
    <s v="EMP1038"/>
    <s v="John Doe"/>
    <x v="4"/>
    <x v="3"/>
    <x v="37"/>
    <d v="2015-09-27T00:00:00"/>
    <s v="NEED TO IMPROVE"/>
    <x v="3"/>
    <s v="Unknown"/>
    <s v="user154@example.com"/>
  </r>
  <r>
    <s v="EMP1039"/>
    <s v="Chris Lee"/>
    <x v="0"/>
    <x v="3"/>
    <x v="38"/>
    <d v="2015-10-04T00:00:00"/>
    <s v="GOOD"/>
    <x v="5"/>
    <s v="Unknown"/>
    <s v="user42@example.com"/>
  </r>
  <r>
    <s v="EMP1040"/>
    <s v="Bob Johnson"/>
    <x v="1"/>
    <x v="3"/>
    <x v="19"/>
    <s v="Not found"/>
    <s v="NEED TO IMPROVE"/>
    <x v="4"/>
    <s v="Female"/>
    <s v="user89@example.com"/>
  </r>
  <r>
    <s v="EMP1041"/>
    <s v="Alice Brown"/>
    <x v="3"/>
    <x v="0"/>
    <x v="39"/>
    <d v="2015-10-18T00:00:00"/>
    <s v="GOOD"/>
    <x v="2"/>
    <s v="Unknown"/>
    <s v="user47@example.com"/>
  </r>
  <r>
    <s v="EMP1042"/>
    <s v="Bob Johnson"/>
    <x v="5"/>
    <x v="4"/>
    <x v="40"/>
    <d v="2015-10-25T00:00:00"/>
    <s v="NEED TO IMPROVE"/>
    <x v="0"/>
    <s v="Female"/>
    <s v="user175@example.com"/>
  </r>
  <r>
    <s v="EMP1043"/>
    <s v="Alice Brown"/>
    <x v="4"/>
    <x v="4"/>
    <x v="41"/>
    <d v="2015-11-01T00:00:00"/>
    <s v="NEED TO IMPROVE"/>
    <x v="2"/>
    <s v="Female"/>
    <s v="user57@example.com"/>
  </r>
  <r>
    <s v="EMP1044"/>
    <s v="Chris Lee"/>
    <x v="1"/>
    <x v="2"/>
    <x v="42"/>
    <d v="2015-11-08T00:00:00"/>
    <s v="NEED TO IMPROVE"/>
    <x v="0"/>
    <s v="Unknown"/>
    <s v="user20@example.com"/>
  </r>
  <r>
    <s v="EMP1045"/>
    <s v="Unknown"/>
    <x v="0"/>
    <x v="2"/>
    <x v="43"/>
    <d v="2015-11-15T00:00:00"/>
    <s v="NEED TO IMPROVE"/>
    <x v="5"/>
    <s v="Other"/>
    <s v="user106@example.com"/>
  </r>
  <r>
    <s v="EMP1046"/>
    <s v="Chris Lee"/>
    <x v="3"/>
    <x v="0"/>
    <x v="44"/>
    <d v="2015-11-22T00:00:00"/>
    <s v="NEED TO IMPROVE"/>
    <x v="5"/>
    <s v="Other"/>
    <s v="user199@example.com"/>
  </r>
  <r>
    <s v="EMP1047"/>
    <s v="Chris Lee"/>
    <x v="0"/>
    <x v="2"/>
    <x v="45"/>
    <d v="2015-11-29T00:00:00"/>
    <s v="NEED TO IMPROVE"/>
    <x v="4"/>
    <s v="Unknown"/>
    <s v="user43@example.com"/>
  </r>
  <r>
    <s v="EMP1048"/>
    <s v="John Doe"/>
    <x v="1"/>
    <x v="2"/>
    <x v="46"/>
    <d v="2015-12-06T00:00:00"/>
    <s v="GOOD"/>
    <x v="1"/>
    <s v="Other"/>
    <s v="user24@example.com"/>
  </r>
  <r>
    <s v="EMP1049"/>
    <s v="Eve Adams"/>
    <x v="0"/>
    <x v="0"/>
    <x v="47"/>
    <d v="2015-12-13T00:00:00"/>
    <s v="NEED TO IMPROVE"/>
    <x v="3"/>
    <s v="Female"/>
    <s v="user89@example.com"/>
  </r>
  <r>
    <s v="EMP1050"/>
    <s v="Chris Lee"/>
    <x v="5"/>
    <x v="2"/>
    <x v="48"/>
    <s v="Not found"/>
    <s v="GOOD"/>
    <x v="1"/>
    <s v="Female"/>
    <s v="user95@example.com"/>
  </r>
  <r>
    <s v="EMP1051"/>
    <s v="Sam Wilson"/>
    <x v="2"/>
    <x v="2"/>
    <x v="49"/>
    <d v="2015-12-27T00:00:00"/>
    <s v="NEED TO IMPROVE"/>
    <x v="3"/>
    <s v="Unknown"/>
    <s v="user59@example.com"/>
  </r>
  <r>
    <s v="EMP1052"/>
    <s v="Eve Adams"/>
    <x v="4"/>
    <x v="2"/>
    <x v="50"/>
    <d v="2016-01-03T00:00:00"/>
    <s v="GOOD"/>
    <x v="0"/>
    <s v="Unknown"/>
    <s v="user152@example.com"/>
  </r>
  <r>
    <s v="EMP1053"/>
    <s v="Eve Adams"/>
    <x v="1"/>
    <x v="3"/>
    <x v="51"/>
    <d v="2016-01-10T00:00:00"/>
    <s v="NEED TO IMPROVE"/>
    <x v="5"/>
    <s v="Female"/>
    <s v="user200@example.com"/>
  </r>
  <r>
    <s v="EMP1054"/>
    <s v="Bob Johnson"/>
    <x v="4"/>
    <x v="3"/>
    <x v="52"/>
    <d v="2016-01-17T00:00:00"/>
    <s v="NEED TO IMPROVE"/>
    <x v="3"/>
    <s v="Other"/>
    <s v="user92@example.com"/>
  </r>
  <r>
    <s v="EMP1055"/>
    <s v="Chris Lee"/>
    <x v="5"/>
    <x v="1"/>
    <x v="53"/>
    <d v="2016-01-24T00:00:00"/>
    <s v="GOOD"/>
    <x v="3"/>
    <s v="Female"/>
    <s v="user50@example.com"/>
  </r>
  <r>
    <s v="EMP1056"/>
    <s v="John Doe"/>
    <x v="2"/>
    <x v="4"/>
    <x v="54"/>
    <d v="2016-01-31T00:00:00"/>
    <s v="GOOD"/>
    <x v="0"/>
    <s v="Male"/>
    <s v="user63@example.com"/>
  </r>
  <r>
    <s v="EMP1057"/>
    <s v="Eve Adams"/>
    <x v="5"/>
    <x v="2"/>
    <x v="55"/>
    <d v="2016-02-07T00:00:00"/>
    <s v="NEED TO IMPROVE"/>
    <x v="5"/>
    <s v="Unknown"/>
    <s v="user103@example.com"/>
  </r>
  <r>
    <s v="EMP1058"/>
    <s v="Sam Wilson"/>
    <x v="4"/>
    <x v="2"/>
    <x v="56"/>
    <d v="2016-02-14T00:00:00"/>
    <s v="NEED TO IMPROVE"/>
    <x v="3"/>
    <s v="Male"/>
    <s v="user150@example.com"/>
  </r>
  <r>
    <s v="EMP1059"/>
    <s v="Sam Wilson"/>
    <x v="1"/>
    <x v="1"/>
    <x v="57"/>
    <d v="2016-02-21T00:00:00"/>
    <s v="GOOD"/>
    <x v="0"/>
    <s v="Unknown"/>
    <s v="user20@example.com"/>
  </r>
  <r>
    <s v="EMP1060"/>
    <s v="Unknown"/>
    <x v="4"/>
    <x v="0"/>
    <x v="19"/>
    <s v="Not found"/>
    <s v="NEED TO IMPROVE"/>
    <x v="3"/>
    <s v="Unknown"/>
    <s v="user112@example.com"/>
  </r>
  <r>
    <s v="EMP1061"/>
    <s v="Eve Adams"/>
    <x v="5"/>
    <x v="4"/>
    <x v="58"/>
    <d v="2016-03-06T00:00:00"/>
    <s v="GOOD"/>
    <x v="1"/>
    <s v="Unknown"/>
    <s v="user31@example.com"/>
  </r>
  <r>
    <s v="EMP1062"/>
    <s v="Chris Lee"/>
    <x v="3"/>
    <x v="3"/>
    <x v="59"/>
    <d v="2016-03-13T00:00:00"/>
    <s v="NEED TO IMPROVE"/>
    <x v="3"/>
    <s v="Female"/>
    <s v="user71@example.com"/>
  </r>
  <r>
    <s v="EMP1063"/>
    <s v="Eve Adams"/>
    <x v="0"/>
    <x v="1"/>
    <x v="60"/>
    <d v="2016-03-20T00:00:00"/>
    <s v="GOOD"/>
    <x v="1"/>
    <s v="Other"/>
    <s v="user97@example.com"/>
  </r>
  <r>
    <s v="EMP1064"/>
    <s v="John Doe"/>
    <x v="3"/>
    <x v="2"/>
    <x v="61"/>
    <d v="2016-03-27T00:00:00"/>
    <s v="NEED TO IMPROVE"/>
    <x v="0"/>
    <s v="Male"/>
    <s v="user141@example.com"/>
  </r>
  <r>
    <s v="EMP1065"/>
    <s v="Sam Wilson"/>
    <x v="1"/>
    <x v="2"/>
    <x v="62"/>
    <d v="2016-04-03T00:00:00"/>
    <s v="NEED TO IMPROVE"/>
    <x v="4"/>
    <s v="Male"/>
    <s v="user125@example.com"/>
  </r>
  <r>
    <s v="EMP1066"/>
    <s v="Sam Wilson"/>
    <x v="5"/>
    <x v="4"/>
    <x v="63"/>
    <d v="2016-04-10T00:00:00"/>
    <s v="GOOD"/>
    <x v="5"/>
    <s v="Other"/>
    <s v="user90@example.com"/>
  </r>
  <r>
    <s v="EMP1067"/>
    <s v="Alice Brown"/>
    <x v="2"/>
    <x v="2"/>
    <x v="64"/>
    <d v="2016-04-17T00:00:00"/>
    <s v="NEED TO IMPROVE"/>
    <x v="5"/>
    <s v="Female"/>
    <s v="user192@example.com"/>
  </r>
  <r>
    <s v="EMP1068"/>
    <s v="Sam Wilson"/>
    <x v="1"/>
    <x v="3"/>
    <x v="65"/>
    <d v="2016-04-24T00:00:00"/>
    <s v="NEED TO IMPROVE"/>
    <x v="1"/>
    <s v="Unknown"/>
    <s v="user77@example.com"/>
  </r>
  <r>
    <s v="EMP1069"/>
    <s v="Bob Johnson"/>
    <x v="1"/>
    <x v="2"/>
    <x v="66"/>
    <d v="2016-05-01T00:00:00"/>
    <s v="NEED TO IMPROVE"/>
    <x v="0"/>
    <s v="Unknown"/>
    <s v="user65@example.com"/>
  </r>
  <r>
    <s v="EMP1070"/>
    <s v="Eve Adams"/>
    <x v="2"/>
    <x v="4"/>
    <x v="67"/>
    <d v="2016-05-08T00:00:00"/>
    <s v="NEED TO IMPROVE"/>
    <x v="3"/>
    <s v="Female"/>
    <s v="invalid_email"/>
  </r>
  <r>
    <s v="EMP1071"/>
    <s v="Eve Adams"/>
    <x v="4"/>
    <x v="1"/>
    <x v="68"/>
    <d v="2016-05-15T00:00:00"/>
    <s v="GOOD"/>
    <x v="5"/>
    <s v="Unknown"/>
    <s v="user142@example.com"/>
  </r>
  <r>
    <s v="EMP1072"/>
    <s v="Bob Johnson"/>
    <x v="4"/>
    <x v="2"/>
    <x v="69"/>
    <d v="2016-05-22T00:00:00"/>
    <s v="NEED TO IMPROVE"/>
    <x v="2"/>
    <s v="Other"/>
    <s v="user153@example.com"/>
  </r>
  <r>
    <s v="EMP1073"/>
    <s v="John Doe"/>
    <x v="2"/>
    <x v="2"/>
    <x v="70"/>
    <d v="2016-05-29T00:00:00"/>
    <s v="NEED TO IMPROVE"/>
    <x v="4"/>
    <s v="Female"/>
    <s v="user71@example.com"/>
  </r>
  <r>
    <s v="EMP1074"/>
    <s v="Sam Wilson"/>
    <x v="5"/>
    <x v="0"/>
    <x v="71"/>
    <d v="2016-06-05T00:00:00"/>
    <s v="GOOD"/>
    <x v="2"/>
    <s v="Unknown"/>
    <s v="user143@example.com"/>
  </r>
  <r>
    <s v="EMP1075"/>
    <s v="Unknown"/>
    <x v="2"/>
    <x v="2"/>
    <x v="72"/>
    <d v="2016-06-12T00:00:00"/>
    <s v="NEED TO IMPROVE"/>
    <x v="0"/>
    <s v="Other"/>
    <s v="user17@example.com"/>
  </r>
  <r>
    <s v="EMP1076"/>
    <s v="Eve Adams"/>
    <x v="3"/>
    <x v="2"/>
    <x v="73"/>
    <d v="2016-06-19T00:00:00"/>
    <s v="NEED TO IMPROVE"/>
    <x v="0"/>
    <s v="Male"/>
    <s v="user20@example.com"/>
  </r>
  <r>
    <s v="EMP1077"/>
    <s v="Jane Smith"/>
    <x v="5"/>
    <x v="3"/>
    <x v="74"/>
    <d v="2016-06-26T00:00:00"/>
    <s v="NEED TO IMPROVE"/>
    <x v="0"/>
    <s v="Female"/>
    <s v="user22@example.com"/>
  </r>
  <r>
    <s v="EMP1078"/>
    <s v="Sam Wilson"/>
    <x v="5"/>
    <x v="3"/>
    <x v="75"/>
    <d v="2016-07-03T00:00:00"/>
    <s v="NEED TO IMPROVE"/>
    <x v="1"/>
    <s v="Unknown"/>
    <s v="user46@example.com"/>
  </r>
  <r>
    <s v="EMP1079"/>
    <s v="Chris Lee"/>
    <x v="2"/>
    <x v="1"/>
    <x v="76"/>
    <d v="2016-07-10T00:00:00"/>
    <s v="NEED TO IMPROVE"/>
    <x v="1"/>
    <s v="Other"/>
    <s v="user55@example.com"/>
  </r>
  <r>
    <s v="EMP1080"/>
    <s v="Eve Adams"/>
    <x v="4"/>
    <x v="2"/>
    <x v="19"/>
    <s v="Not found"/>
    <s v="NEED TO IMPROVE"/>
    <x v="2"/>
    <s v="Unknown"/>
    <s v="user135@example.com"/>
  </r>
  <r>
    <s v="EMP1081"/>
    <s v="Jane Smith"/>
    <x v="2"/>
    <x v="1"/>
    <x v="77"/>
    <d v="2016-07-24T00:00:00"/>
    <s v="NEED TO IMPROVE"/>
    <x v="5"/>
    <s v="Female"/>
    <s v="user156@example.com"/>
  </r>
  <r>
    <s v="EMP1082"/>
    <s v="Eve Adams"/>
    <x v="3"/>
    <x v="3"/>
    <x v="78"/>
    <d v="2016-07-31T00:00:00"/>
    <s v="NEED TO IMPROVE"/>
    <x v="0"/>
    <s v="Unknown"/>
    <s v="user104@example.com"/>
  </r>
  <r>
    <s v="EMP1083"/>
    <s v="Sam Wilson"/>
    <x v="2"/>
    <x v="2"/>
    <x v="79"/>
    <d v="2016-08-07T00:00:00"/>
    <s v="NEED TO IMPROVE"/>
    <x v="2"/>
    <s v="Other"/>
    <s v="user145@example.com"/>
  </r>
  <r>
    <s v="EMP1084"/>
    <s v="John Doe"/>
    <x v="4"/>
    <x v="2"/>
    <x v="80"/>
    <d v="2016-08-14T00:00:00"/>
    <s v="NEED TO IMPROVE"/>
    <x v="4"/>
    <s v="Female"/>
    <s v="user47@example.com"/>
  </r>
  <r>
    <s v="EMP1085"/>
    <s v="Chris Lee"/>
    <x v="1"/>
    <x v="2"/>
    <x v="81"/>
    <d v="2016-08-21T00:00:00"/>
    <s v="GOOD"/>
    <x v="3"/>
    <s v="Other"/>
    <s v="user197@example.com"/>
  </r>
  <r>
    <s v="EMP1086"/>
    <s v="Chris Lee"/>
    <x v="3"/>
    <x v="2"/>
    <x v="82"/>
    <d v="2016-08-28T00:00:00"/>
    <s v="GOOD"/>
    <x v="4"/>
    <s v="Male"/>
    <s v="user177@example.com"/>
  </r>
  <r>
    <s v="EMP1087"/>
    <s v="Sam Wilson"/>
    <x v="0"/>
    <x v="0"/>
    <x v="83"/>
    <d v="2016-09-04T00:00:00"/>
    <s v="GOOD"/>
    <x v="4"/>
    <s v="Male"/>
    <s v="user149@example.com"/>
  </r>
  <r>
    <s v="EMP1088"/>
    <s v="Chris Lee"/>
    <x v="3"/>
    <x v="2"/>
    <x v="84"/>
    <d v="2016-09-11T00:00:00"/>
    <s v="GOOD"/>
    <x v="5"/>
    <s v="Unknown"/>
    <s v="user48@example.com"/>
  </r>
  <r>
    <s v="EMP1089"/>
    <s v="Jane Smith"/>
    <x v="5"/>
    <x v="4"/>
    <x v="85"/>
    <d v="2016-09-18T00:00:00"/>
    <s v="NEED TO IMPROVE"/>
    <x v="5"/>
    <s v="Other"/>
    <s v="user149@example.com"/>
  </r>
  <r>
    <s v="EMP1090"/>
    <s v="Unknown"/>
    <x v="4"/>
    <x v="3"/>
    <x v="86"/>
    <d v="2016-09-25T00:00:00"/>
    <s v="NEED TO IMPROVE"/>
    <x v="5"/>
    <s v="Unknown"/>
    <s v="user65@example.com"/>
  </r>
  <r>
    <s v="EMP1091"/>
    <s v="Alice Brown"/>
    <x v="0"/>
    <x v="4"/>
    <x v="87"/>
    <d v="2016-10-02T00:00:00"/>
    <s v="NEED TO IMPROVE"/>
    <x v="0"/>
    <s v="Male"/>
    <s v="user43@example.com"/>
  </r>
  <r>
    <s v="EMP1092"/>
    <s v="Jane Smith"/>
    <x v="3"/>
    <x v="2"/>
    <x v="88"/>
    <d v="2016-10-09T00:00:00"/>
    <s v="NEED TO IMPROVE"/>
    <x v="3"/>
    <s v="Male"/>
    <s v="user98@example.com"/>
  </r>
  <r>
    <s v="EMP1093"/>
    <s v="Alice Brown"/>
    <x v="5"/>
    <x v="1"/>
    <x v="89"/>
    <d v="2016-10-16T00:00:00"/>
    <s v="GOOD"/>
    <x v="4"/>
    <s v="Male"/>
    <s v="user102@example.com"/>
  </r>
  <r>
    <s v="EMP1094"/>
    <s v="Bob Johnson"/>
    <x v="3"/>
    <x v="2"/>
    <x v="90"/>
    <d v="2016-10-23T00:00:00"/>
    <s v="GOOD"/>
    <x v="2"/>
    <s v="Female"/>
    <s v="user148@example.com"/>
  </r>
  <r>
    <s v="EMP1095"/>
    <s v="Alice Brown"/>
    <x v="1"/>
    <x v="4"/>
    <x v="91"/>
    <d v="2016-10-30T00:00:00"/>
    <s v="NEED TO IMPROVE"/>
    <x v="2"/>
    <s v="Other"/>
    <s v="user155@example.com"/>
  </r>
  <r>
    <s v="EMP1096"/>
    <s v="Jane Smith"/>
    <x v="1"/>
    <x v="1"/>
    <x v="92"/>
    <d v="2016-11-06T00:00:00"/>
    <s v="NEED TO IMPROVE"/>
    <x v="5"/>
    <s v="Unknown"/>
    <s v="user191@example.com"/>
  </r>
  <r>
    <s v="EMP1097"/>
    <s v="Sam Wilson"/>
    <x v="0"/>
    <x v="0"/>
    <x v="93"/>
    <d v="2016-11-13T00:00:00"/>
    <s v="NEED TO IMPROVE"/>
    <x v="0"/>
    <s v="Male"/>
    <s v="user113@example.com"/>
  </r>
  <r>
    <s v="EMP1098"/>
    <s v="Bob Johnson"/>
    <x v="3"/>
    <x v="4"/>
    <x v="94"/>
    <d v="2016-11-20T00:00:00"/>
    <s v="NEED TO IMPROVE"/>
    <x v="2"/>
    <s v="Male"/>
    <s v="user62@example.com"/>
  </r>
  <r>
    <s v="EMP1099"/>
    <s v="Eve Adams"/>
    <x v="4"/>
    <x v="1"/>
    <x v="95"/>
    <d v="2016-11-27T00:00:00"/>
    <s v="NEED TO IMPROVE"/>
    <x v="4"/>
    <s v="Male"/>
    <s v="user76@example.com"/>
  </r>
  <r>
    <s v="EMP1100"/>
    <s v="Bob Johnson"/>
    <x v="4"/>
    <x v="2"/>
    <x v="19"/>
    <d v="2016-12-04T00:00:00"/>
    <s v="GOOD"/>
    <x v="1"/>
    <s v="Other"/>
    <s v="user40@example.com"/>
  </r>
  <r>
    <s v="EMP1101"/>
    <s v="Bob Johnson"/>
    <x v="3"/>
    <x v="0"/>
    <x v="96"/>
    <d v="2016-12-11T00:00:00"/>
    <s v="NEED TO IMPROVE"/>
    <x v="2"/>
    <s v="Male"/>
    <s v="user200@example.com"/>
  </r>
  <r>
    <s v="EMP1102"/>
    <s v="Alice Brown"/>
    <x v="0"/>
    <x v="0"/>
    <x v="97"/>
    <d v="2016-12-18T00:00:00"/>
    <s v="NEED TO IMPROVE"/>
    <x v="2"/>
    <s v="Female"/>
    <s v="user54@example.com"/>
  </r>
  <r>
    <s v="EMP1103"/>
    <s v="Alice Brown"/>
    <x v="4"/>
    <x v="2"/>
    <x v="98"/>
    <d v="2016-12-25T00:00:00"/>
    <s v="NEED TO IMPROVE"/>
    <x v="3"/>
    <s v="Other"/>
    <s v="user20@example.com"/>
  </r>
  <r>
    <s v="EMP1104"/>
    <s v="Jane Smith"/>
    <x v="5"/>
    <x v="4"/>
    <x v="99"/>
    <d v="2017-01-01T00:00:00"/>
    <s v="GOOD"/>
    <x v="0"/>
    <s v="Unknown"/>
    <s v="user40@example.com"/>
  </r>
  <r>
    <s v="EMP1105"/>
    <s v="Unknown"/>
    <x v="0"/>
    <x v="3"/>
    <x v="100"/>
    <d v="2017-01-08T00:00:00"/>
    <s v="NEED TO IMPROVE"/>
    <x v="5"/>
    <s v="Other"/>
    <s v="invalid_email"/>
  </r>
  <r>
    <s v="EMP1106"/>
    <s v="Eve Adams"/>
    <x v="3"/>
    <x v="2"/>
    <x v="101"/>
    <d v="2017-01-15T00:00:00"/>
    <s v="NEED TO IMPROVE"/>
    <x v="2"/>
    <s v="Male"/>
    <s v="user189@example.com"/>
  </r>
  <r>
    <s v="EMP1107"/>
    <s v="Sam Wilson"/>
    <x v="4"/>
    <x v="4"/>
    <x v="102"/>
    <d v="2017-01-22T00:00:00"/>
    <s v="NEED TO IMPROVE"/>
    <x v="1"/>
    <s v="Female"/>
    <s v="user128@example.com"/>
  </r>
  <r>
    <s v="EMP1108"/>
    <s v="Sam Wilson"/>
    <x v="0"/>
    <x v="2"/>
    <x v="103"/>
    <d v="2017-01-29T00:00:00"/>
    <s v="NEED TO IMPROVE"/>
    <x v="0"/>
    <s v="Unknown"/>
    <s v="user93@example.com"/>
  </r>
  <r>
    <s v="EMP1109"/>
    <s v="Jane Smith"/>
    <x v="5"/>
    <x v="2"/>
    <x v="104"/>
    <d v="2017-02-05T00:00:00"/>
    <s v="NEED TO IMPROVE"/>
    <x v="0"/>
    <s v="Female"/>
    <s v="user174@example.com"/>
  </r>
  <r>
    <s v="EMP1110"/>
    <s v="Chris Lee"/>
    <x v="2"/>
    <x v="2"/>
    <x v="105"/>
    <s v="Not found"/>
    <s v="NEED TO IMPROVE"/>
    <x v="1"/>
    <s v="Female"/>
    <s v="user44@example.com"/>
  </r>
  <r>
    <s v="EMP1111"/>
    <s v="Chris Lee"/>
    <x v="3"/>
    <x v="1"/>
    <x v="106"/>
    <d v="2017-02-19T00:00:00"/>
    <s v="NEED TO IMPROVE"/>
    <x v="3"/>
    <s v="Female"/>
    <s v="user192@example.com"/>
  </r>
  <r>
    <s v="EMP1112"/>
    <s v="Eve Adams"/>
    <x v="1"/>
    <x v="2"/>
    <x v="107"/>
    <d v="2017-02-26T00:00:00"/>
    <s v="GOOD"/>
    <x v="2"/>
    <s v="Other"/>
    <s v="user76@example.com"/>
  </r>
  <r>
    <s v="EMP1113"/>
    <s v="Alice Brown"/>
    <x v="3"/>
    <x v="1"/>
    <x v="108"/>
    <d v="2017-03-05T00:00:00"/>
    <s v="NEED TO IMPROVE"/>
    <x v="0"/>
    <s v="Male"/>
    <s v="user82@example.com"/>
  </r>
  <r>
    <s v="EMP1114"/>
    <s v="Eve Adams"/>
    <x v="4"/>
    <x v="3"/>
    <x v="109"/>
    <d v="2017-03-12T00:00:00"/>
    <s v="NEED TO IMPROVE"/>
    <x v="4"/>
    <s v="Unknown"/>
    <s v="user97@example.com"/>
  </r>
  <r>
    <s v="EMP1115"/>
    <s v="Bob Johnson"/>
    <x v="0"/>
    <x v="0"/>
    <x v="110"/>
    <d v="2017-03-19T00:00:00"/>
    <s v="GOOD"/>
    <x v="4"/>
    <s v="Female"/>
    <s v="user149@example.com"/>
  </r>
  <r>
    <s v="EMP1116"/>
    <s v="Bob Johnson"/>
    <x v="4"/>
    <x v="4"/>
    <x v="111"/>
    <d v="2017-03-26T00:00:00"/>
    <s v="GOOD"/>
    <x v="3"/>
    <s v="Female"/>
    <s v="user192@example.com"/>
  </r>
  <r>
    <s v="EMP1117"/>
    <s v="Bob Johnson"/>
    <x v="4"/>
    <x v="2"/>
    <x v="112"/>
    <d v="2017-04-02T00:00:00"/>
    <s v="GOOD"/>
    <x v="0"/>
    <s v="Unknown"/>
    <s v="user137@example.com"/>
  </r>
  <r>
    <s v="EMP1118"/>
    <s v="Chris Lee"/>
    <x v="2"/>
    <x v="2"/>
    <x v="113"/>
    <d v="2017-04-09T00:00:00"/>
    <s v="NEED TO IMPROVE"/>
    <x v="5"/>
    <s v="Unknown"/>
    <s v="user23@example.com"/>
  </r>
  <r>
    <s v="EMP1119"/>
    <s v="Eve Adams"/>
    <x v="2"/>
    <x v="4"/>
    <x v="114"/>
    <d v="2017-04-16T00:00:00"/>
    <s v="NEED TO IMPROVE"/>
    <x v="2"/>
    <s v="Female"/>
    <s v="user200@example.com"/>
  </r>
  <r>
    <s v="EMP1120"/>
    <s v="Unknown"/>
    <x v="3"/>
    <x v="1"/>
    <x v="19"/>
    <s v="Not found"/>
    <s v="NEED TO IMPROVE"/>
    <x v="3"/>
    <s v="Unknown"/>
    <s v="user101@example.com"/>
  </r>
  <r>
    <s v="EMP1121"/>
    <s v="Chris Lee"/>
    <x v="2"/>
    <x v="1"/>
    <x v="115"/>
    <d v="2017-04-30T00:00:00"/>
    <s v="GOOD"/>
    <x v="1"/>
    <s v="Unknown"/>
    <s v="user132@example.com"/>
  </r>
  <r>
    <s v="EMP1122"/>
    <s v="Bob Johnson"/>
    <x v="2"/>
    <x v="0"/>
    <x v="116"/>
    <d v="2017-05-07T00:00:00"/>
    <s v="NEED TO IMPROVE"/>
    <x v="5"/>
    <s v="Male"/>
    <s v="user171@example.com"/>
  </r>
  <r>
    <s v="EMP1123"/>
    <s v="Jane Smith"/>
    <x v="5"/>
    <x v="0"/>
    <x v="117"/>
    <d v="2017-05-14T00:00:00"/>
    <s v="NEED TO IMPROVE"/>
    <x v="3"/>
    <s v="Male"/>
    <s v="user145@example.com"/>
  </r>
  <r>
    <s v="EMP1124"/>
    <s v="John Doe"/>
    <x v="3"/>
    <x v="2"/>
    <x v="118"/>
    <d v="2017-05-21T00:00:00"/>
    <s v="GOOD"/>
    <x v="0"/>
    <s v="Female"/>
    <s v="user75@example.com"/>
  </r>
  <r>
    <s v="EMP1125"/>
    <s v="John Doe"/>
    <x v="1"/>
    <x v="2"/>
    <x v="119"/>
    <d v="2017-05-28T00:00:00"/>
    <s v="NEED TO IMPROVE"/>
    <x v="3"/>
    <s v="Unknown"/>
    <s v="user52@example.com"/>
  </r>
  <r>
    <s v="EMP1126"/>
    <s v="Bob Johnson"/>
    <x v="5"/>
    <x v="0"/>
    <x v="120"/>
    <d v="2017-06-04T00:00:00"/>
    <s v="GOOD"/>
    <x v="5"/>
    <s v="Male"/>
    <s v="user100@example.com"/>
  </r>
  <r>
    <s v="EMP1127"/>
    <s v="John Doe"/>
    <x v="1"/>
    <x v="1"/>
    <x v="121"/>
    <d v="2017-06-11T00:00:00"/>
    <s v="NEED TO IMPROVE"/>
    <x v="1"/>
    <s v="Male"/>
    <s v="user83@example.com"/>
  </r>
  <r>
    <s v="EMP1128"/>
    <s v="Chris Lee"/>
    <x v="2"/>
    <x v="1"/>
    <x v="122"/>
    <d v="2017-06-18T00:00:00"/>
    <s v="NEED TO IMPROVE"/>
    <x v="0"/>
    <s v="Unknown"/>
    <s v="user167@example.com"/>
  </r>
  <r>
    <s v="EMP1129"/>
    <s v="Bob Johnson"/>
    <x v="5"/>
    <x v="3"/>
    <x v="123"/>
    <d v="2017-06-25T00:00:00"/>
    <s v="NEED TO IMPROVE"/>
    <x v="2"/>
    <s v="Unknown"/>
    <s v="user175@example.com"/>
  </r>
  <r>
    <s v="EMP1130"/>
    <s v="Alice Brown"/>
    <x v="2"/>
    <x v="2"/>
    <x v="124"/>
    <s v="Not found"/>
    <s v="NEED TO IMPROVE"/>
    <x v="5"/>
    <s v="Male"/>
    <s v="user25@example.com"/>
  </r>
  <r>
    <s v="EMP1131"/>
    <s v="Sam Wilson"/>
    <x v="4"/>
    <x v="0"/>
    <x v="125"/>
    <d v="2017-07-09T00:00:00"/>
    <s v="NEED TO IMPROVE"/>
    <x v="5"/>
    <s v="Other"/>
    <s v="user42@example.com"/>
  </r>
  <r>
    <s v="EMP1132"/>
    <s v="Eve Adams"/>
    <x v="0"/>
    <x v="1"/>
    <x v="126"/>
    <d v="2017-07-16T00:00:00"/>
    <s v="NEED TO IMPROVE"/>
    <x v="5"/>
    <s v="Other"/>
    <s v="user188@example.com"/>
  </r>
  <r>
    <s v="EMP1133"/>
    <s v="Chris Lee"/>
    <x v="0"/>
    <x v="0"/>
    <x v="127"/>
    <d v="2017-07-23T00:00:00"/>
    <s v="NEED TO IMPROVE"/>
    <x v="5"/>
    <s v="Unknown"/>
    <s v="user44@example.com"/>
  </r>
  <r>
    <s v="EMP1134"/>
    <s v="Eve Adams"/>
    <x v="4"/>
    <x v="2"/>
    <x v="128"/>
    <d v="2017-07-30T00:00:00"/>
    <s v="NEED TO IMPROVE"/>
    <x v="0"/>
    <s v="Other"/>
    <s v="user63@example.com"/>
  </r>
  <r>
    <s v="EMP1135"/>
    <s v="Unknown"/>
    <x v="3"/>
    <x v="3"/>
    <x v="129"/>
    <d v="2017-08-06T00:00:00"/>
    <s v="NEED TO IMPROVE"/>
    <x v="5"/>
    <s v="Female"/>
    <s v="user198@example.com"/>
  </r>
  <r>
    <s v="EMP1136"/>
    <s v="Jane Smith"/>
    <x v="1"/>
    <x v="2"/>
    <x v="130"/>
    <d v="2017-08-13T00:00:00"/>
    <s v="NEED TO IMPROVE"/>
    <x v="4"/>
    <s v="Other"/>
    <s v="user59@example.com"/>
  </r>
  <r>
    <s v="EMP1137"/>
    <s v="Chris Lee"/>
    <x v="0"/>
    <x v="0"/>
    <x v="131"/>
    <d v="2017-08-20T00:00:00"/>
    <s v="GOOD"/>
    <x v="2"/>
    <s v="Unknown"/>
    <s v="user165@example.com"/>
  </r>
  <r>
    <s v="EMP1138"/>
    <s v="Chris Lee"/>
    <x v="4"/>
    <x v="4"/>
    <x v="132"/>
    <d v="2017-08-27T00:00:00"/>
    <s v="NEED TO IMPROVE"/>
    <x v="4"/>
    <s v="Female"/>
    <s v="user3@example.com"/>
  </r>
  <r>
    <s v="EMP1139"/>
    <s v="Bob Johnson"/>
    <x v="3"/>
    <x v="2"/>
    <x v="133"/>
    <d v="2017-09-03T00:00:00"/>
    <s v="GOOD"/>
    <x v="1"/>
    <s v="Unknown"/>
    <s v="user22@example.com"/>
  </r>
  <r>
    <s v="EMP1140"/>
    <s v="Chris Lee"/>
    <x v="2"/>
    <x v="1"/>
    <x v="19"/>
    <d v="2017-09-10T00:00:00"/>
    <s v="NEED TO IMPROVE"/>
    <x v="4"/>
    <s v="Other"/>
    <s v="invalid_email"/>
  </r>
  <r>
    <s v="EMP1141"/>
    <s v="Jane Smith"/>
    <x v="4"/>
    <x v="1"/>
    <x v="134"/>
    <d v="2017-09-17T00:00:00"/>
    <s v="GOOD"/>
    <x v="3"/>
    <s v="Other"/>
    <s v="user103@example.com"/>
  </r>
  <r>
    <s v="EMP1142"/>
    <s v="Alice Brown"/>
    <x v="4"/>
    <x v="2"/>
    <x v="135"/>
    <d v="2017-09-24T00:00:00"/>
    <s v="GOOD"/>
    <x v="5"/>
    <s v="Other"/>
    <s v="user190@example.com"/>
  </r>
  <r>
    <s v="EMP1143"/>
    <s v="Chris Lee"/>
    <x v="2"/>
    <x v="3"/>
    <x v="136"/>
    <d v="2017-10-01T00:00:00"/>
    <s v="NEED TO IMPROVE"/>
    <x v="2"/>
    <s v="Unknown"/>
    <s v="user114@example.com"/>
  </r>
  <r>
    <s v="EMP1144"/>
    <s v="Eve Adams"/>
    <x v="5"/>
    <x v="2"/>
    <x v="137"/>
    <d v="2017-10-08T00:00:00"/>
    <s v="NEED TO IMPROVE"/>
    <x v="1"/>
    <s v="Unknown"/>
    <s v="user53@example.com"/>
  </r>
  <r>
    <s v="EMP1145"/>
    <s v="Sam Wilson"/>
    <x v="2"/>
    <x v="4"/>
    <x v="138"/>
    <d v="2017-10-15T00:00:00"/>
    <s v="NEED TO IMPROVE"/>
    <x v="3"/>
    <s v="Female"/>
    <s v="user188@example.com"/>
  </r>
  <r>
    <s v="EMP1146"/>
    <s v="John Doe"/>
    <x v="4"/>
    <x v="1"/>
    <x v="139"/>
    <d v="2017-10-22T00:00:00"/>
    <s v="GOOD"/>
    <x v="1"/>
    <s v="Unknown"/>
    <s v="user165@example.com"/>
  </r>
  <r>
    <s v="EMP1147"/>
    <s v="Bob Johnson"/>
    <x v="2"/>
    <x v="4"/>
    <x v="140"/>
    <d v="2017-10-29T00:00:00"/>
    <s v="NEED TO IMPROVE"/>
    <x v="0"/>
    <s v="Unknown"/>
    <s v="user163@example.com"/>
  </r>
  <r>
    <s v="EMP1148"/>
    <s v="Bob Johnson"/>
    <x v="5"/>
    <x v="3"/>
    <x v="141"/>
    <d v="2017-11-05T00:00:00"/>
    <s v="NEED TO IMPROVE"/>
    <x v="0"/>
    <s v="Other"/>
    <s v="user112@example.com"/>
  </r>
  <r>
    <s v="EMP1149"/>
    <s v="Sam Wilson"/>
    <x v="4"/>
    <x v="2"/>
    <x v="142"/>
    <d v="2017-11-12T00:00:00"/>
    <s v="NEED TO IMPROVE"/>
    <x v="3"/>
    <s v="Other"/>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5B74D3-0856-4108-AED1-60AAD15AD01D}"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1:H69" firstHeaderRow="1" firstDataRow="2" firstDataCol="1" rowPageCount="1" colPageCount="1"/>
  <pivotFields count="10">
    <pivotField showAll="0"/>
    <pivotField showAll="0"/>
    <pivotField axis="axisCol" showAll="0">
      <items count="7">
        <item x="1"/>
        <item x="0"/>
        <item x="3"/>
        <item x="4"/>
        <item x="2"/>
        <item x="5"/>
        <item t="default"/>
      </items>
    </pivotField>
    <pivotField axis="axisRow" showAll="0">
      <items count="7">
        <item x="5"/>
        <item x="4"/>
        <item x="0"/>
        <item x="2"/>
        <item x="3"/>
        <item x="1"/>
        <item t="default"/>
      </items>
    </pivotField>
    <pivotField dataField="1" showAll="0">
      <items count="144">
        <item x="50"/>
        <item x="117"/>
        <item x="122"/>
        <item x="48"/>
        <item x="105"/>
        <item x="58"/>
        <item x="90"/>
        <item x="51"/>
        <item x="62"/>
        <item x="82"/>
        <item x="39"/>
        <item x="106"/>
        <item x="125"/>
        <item x="81"/>
        <item x="41"/>
        <item x="6"/>
        <item x="138"/>
        <item x="22"/>
        <item x="60"/>
        <item x="21"/>
        <item x="126"/>
        <item x="85"/>
        <item x="111"/>
        <item x="129"/>
        <item x="49"/>
        <item x="71"/>
        <item x="16"/>
        <item x="26"/>
        <item x="65"/>
        <item x="97"/>
        <item x="78"/>
        <item x="114"/>
        <item x="109"/>
        <item x="80"/>
        <item x="115"/>
        <item x="127"/>
        <item x="108"/>
        <item x="38"/>
        <item x="124"/>
        <item x="101"/>
        <item x="27"/>
        <item x="86"/>
        <item x="116"/>
        <item x="37"/>
        <item x="24"/>
        <item x="0"/>
        <item x="34"/>
        <item x="83"/>
        <item x="69"/>
        <item x="139"/>
        <item x="45"/>
        <item x="43"/>
        <item x="13"/>
        <item x="54"/>
        <item x="118"/>
        <item x="130"/>
        <item x="99"/>
        <item x="64"/>
        <item x="12"/>
        <item x="128"/>
        <item x="123"/>
        <item x="1"/>
        <item x="84"/>
        <item x="3"/>
        <item x="9"/>
        <item x="36"/>
        <item x="40"/>
        <item x="140"/>
        <item x="76"/>
        <item x="96"/>
        <item x="46"/>
        <item x="103"/>
        <item x="134"/>
        <item x="141"/>
        <item x="18"/>
        <item x="5"/>
        <item x="74"/>
        <item x="87"/>
        <item x="67"/>
        <item x="95"/>
        <item x="94"/>
        <item x="120"/>
        <item x="92"/>
        <item x="133"/>
        <item x="112"/>
        <item x="17"/>
        <item x="53"/>
        <item x="52"/>
        <item x="89"/>
        <item x="25"/>
        <item x="66"/>
        <item x="75"/>
        <item x="107"/>
        <item x="4"/>
        <item x="47"/>
        <item x="98"/>
        <item x="33"/>
        <item x="88"/>
        <item x="42"/>
        <item x="57"/>
        <item x="61"/>
        <item x="132"/>
        <item x="56"/>
        <item x="131"/>
        <item x="68"/>
        <item x="102"/>
        <item x="135"/>
        <item x="100"/>
        <item x="104"/>
        <item x="93"/>
        <item x="35"/>
        <item x="119"/>
        <item x="15"/>
        <item x="23"/>
        <item x="70"/>
        <item x="10"/>
        <item x="136"/>
        <item x="8"/>
        <item x="121"/>
        <item x="29"/>
        <item x="30"/>
        <item x="110"/>
        <item x="14"/>
        <item x="44"/>
        <item x="28"/>
        <item x="137"/>
        <item x="73"/>
        <item x="2"/>
        <item x="113"/>
        <item x="32"/>
        <item x="31"/>
        <item x="77"/>
        <item x="91"/>
        <item x="72"/>
        <item x="63"/>
        <item x="11"/>
        <item x="55"/>
        <item x="7"/>
        <item x="59"/>
        <item x="142"/>
        <item x="20"/>
        <item x="79"/>
        <item x="19"/>
        <item t="default"/>
      </items>
    </pivotField>
    <pivotField showAll="0"/>
    <pivotField showAll="0"/>
    <pivotField axis="axisPage" showAll="0">
      <items count="7">
        <item x="2"/>
        <item x="0"/>
        <item x="1"/>
        <item x="5"/>
        <item x="4"/>
        <item x="3"/>
        <item t="default"/>
      </items>
    </pivotField>
    <pivotField showAll="0"/>
    <pivotField showAll="0"/>
  </pivotFields>
  <rowFields count="1">
    <field x="3"/>
  </rowFields>
  <rowItems count="7">
    <i>
      <x/>
    </i>
    <i>
      <x v="1"/>
    </i>
    <i>
      <x v="2"/>
    </i>
    <i>
      <x v="3"/>
    </i>
    <i>
      <x v="4"/>
    </i>
    <i>
      <x v="5"/>
    </i>
    <i t="grand">
      <x/>
    </i>
  </rowItems>
  <colFields count="1">
    <field x="2"/>
  </colFields>
  <colItems count="7">
    <i>
      <x/>
    </i>
    <i>
      <x v="1"/>
    </i>
    <i>
      <x v="2"/>
    </i>
    <i>
      <x v="3"/>
    </i>
    <i>
      <x v="4"/>
    </i>
    <i>
      <x v="5"/>
    </i>
    <i t="grand">
      <x/>
    </i>
  </colItems>
  <pageFields count="1">
    <pageField fld="7" hier="-1"/>
  </pageFields>
  <dataFields count="1">
    <dataField name="Sum of Salary" fld="4" baseField="3" baseItem="5"/>
  </dataFields>
  <formats count="15">
    <format dxfId="92">
      <pivotArea collapsedLevelsAreSubtotals="1" fieldPosition="0">
        <references count="2">
          <reference field="4294967294" count="1" selected="0">
            <x v="0"/>
          </reference>
          <reference field="2" count="1">
            <x v="0"/>
          </reference>
        </references>
      </pivotArea>
    </format>
    <format dxfId="91">
      <pivotArea collapsedLevelsAreSubtotals="1" fieldPosition="0">
        <references count="2">
          <reference field="4294967294" count="1" selected="0">
            <x v="0"/>
          </reference>
          <reference field="2" count="1">
            <x v="1"/>
          </reference>
        </references>
      </pivotArea>
    </format>
    <format dxfId="90">
      <pivotArea collapsedLevelsAreSubtotals="1" fieldPosition="0">
        <references count="2">
          <reference field="4294967294" count="1" selected="0">
            <x v="0"/>
          </reference>
          <reference field="2" count="1">
            <x v="2"/>
          </reference>
        </references>
      </pivotArea>
    </format>
    <format dxfId="89">
      <pivotArea collapsedLevelsAreSubtotals="1" fieldPosition="0">
        <references count="2">
          <reference field="4294967294" count="1" selected="0">
            <x v="0"/>
          </reference>
          <reference field="2" count="1">
            <x v="3"/>
          </reference>
        </references>
      </pivotArea>
    </format>
    <format dxfId="88">
      <pivotArea collapsedLevelsAreSubtotals="1" fieldPosition="0">
        <references count="1">
          <reference field="3" count="5">
            <x v="1"/>
            <x v="2"/>
            <x v="3"/>
            <x v="4"/>
            <x v="5"/>
          </reference>
        </references>
      </pivotArea>
    </format>
    <format dxfId="87">
      <pivotArea grandRow="1" outline="0" collapsedLevelsAreSubtotals="1" fieldPosition="0"/>
    </format>
    <format dxfId="86">
      <pivotArea dataOnly="0" labelOnly="1" fieldPosition="0">
        <references count="1">
          <reference field="2" count="1">
            <x v="0"/>
          </reference>
        </references>
      </pivotArea>
    </format>
    <format dxfId="85">
      <pivotArea dataOnly="0" labelOnly="1" fieldPosition="0">
        <references count="1">
          <reference field="2" count="1">
            <x v="2"/>
          </reference>
        </references>
      </pivotArea>
    </format>
    <format dxfId="84">
      <pivotArea dataOnly="0" labelOnly="1" fieldPosition="0">
        <references count="1">
          <reference field="2" count="1">
            <x v="1"/>
          </reference>
        </references>
      </pivotArea>
    </format>
    <format dxfId="83">
      <pivotArea dataOnly="0" labelOnly="1" fieldPosition="0">
        <references count="1">
          <reference field="2" count="1">
            <x v="4"/>
          </reference>
        </references>
      </pivotArea>
    </format>
    <format dxfId="82">
      <pivotArea dataOnly="0" labelOnly="1" fieldPosition="0">
        <references count="1">
          <reference field="2" count="1">
            <x v="5"/>
          </reference>
        </references>
      </pivotArea>
    </format>
    <format dxfId="81">
      <pivotArea dataOnly="0" labelOnly="1" fieldPosition="0">
        <references count="1">
          <reference field="2" count="1">
            <x v="3"/>
          </reference>
        </references>
      </pivotArea>
    </format>
    <format dxfId="31">
      <pivotArea outline="0" collapsedLevelsAreSubtotals="1" fieldPosition="0">
        <references count="1">
          <reference field="2" count="2" selected="0">
            <x v="1"/>
            <x v="2"/>
          </reference>
        </references>
      </pivotArea>
    </format>
    <format dxfId="30">
      <pivotArea type="topRight" dataOnly="0" labelOnly="1" outline="0" fieldPosition="0"/>
    </format>
    <format dxfId="29">
      <pivotArea dataOnly="0" labelOnly="1" fieldPosition="0">
        <references count="1">
          <reference field="2" count="2">
            <x v="1"/>
            <x v="2"/>
          </reference>
        </references>
      </pivotArea>
    </format>
  </formats>
  <chartFormats count="12">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7" format="12" series="1">
      <pivotArea type="data" outline="0" fieldPosition="0">
        <references count="2">
          <reference field="4294967294" count="1" selected="0">
            <x v="0"/>
          </reference>
          <reference field="2" count="1" selected="0">
            <x v="0"/>
          </reference>
        </references>
      </pivotArea>
    </chartFormat>
    <chartFormat chart="7" format="13" series="1">
      <pivotArea type="data" outline="0" fieldPosition="0">
        <references count="2">
          <reference field="4294967294" count="1" selected="0">
            <x v="0"/>
          </reference>
          <reference field="2" count="1" selected="0">
            <x v="1"/>
          </reference>
        </references>
      </pivotArea>
    </chartFormat>
    <chartFormat chart="7" format="14" series="1">
      <pivotArea type="data" outline="0" fieldPosition="0">
        <references count="2">
          <reference field="4294967294" count="1" selected="0">
            <x v="0"/>
          </reference>
          <reference field="2" count="1" selected="0">
            <x v="2"/>
          </reference>
        </references>
      </pivotArea>
    </chartFormat>
    <chartFormat chart="7" format="15" series="1">
      <pivotArea type="data" outline="0" fieldPosition="0">
        <references count="2">
          <reference field="4294967294" count="1" selected="0">
            <x v="0"/>
          </reference>
          <reference field="2" count="1" selected="0">
            <x v="3"/>
          </reference>
        </references>
      </pivotArea>
    </chartFormat>
    <chartFormat chart="7" format="16" series="1">
      <pivotArea type="data" outline="0" fieldPosition="0">
        <references count="2">
          <reference field="4294967294" count="1" selected="0">
            <x v="0"/>
          </reference>
          <reference field="2" count="1" selected="0">
            <x v="4"/>
          </reference>
        </references>
      </pivotArea>
    </chartFormat>
    <chartFormat chart="7" format="17"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DA14C3-F872-4FEA-A14C-160030B461AD}" name="PivotTable4" cacheId="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8:B56" firstHeaderRow="1" firstDataRow="1" firstDataCol="1"/>
  <pivotFields count="14">
    <pivotField dataField="1" showAll="0">
      <items count="1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showAll="0"/>
    <pivotField showAll="0">
      <items count="7">
        <item x="1"/>
        <item x="0"/>
        <item x="3"/>
        <item x="4"/>
        <item x="2"/>
        <item x="5"/>
        <item t="default"/>
      </items>
    </pivotField>
    <pivotField showAll="0"/>
    <pivotField showAll="0"/>
    <pivotField axis="axisRow" showAll="0">
      <items count="140">
        <item x="0"/>
        <item x="1"/>
        <item x="2"/>
        <item x="3"/>
        <item x="4"/>
        <item x="5"/>
        <item x="6"/>
        <item x="7"/>
        <item x="8"/>
        <item x="9"/>
        <item x="10"/>
        <item x="11"/>
        <item x="12"/>
        <item x="13"/>
        <item x="14"/>
        <item x="15"/>
        <item x="16"/>
        <item x="17"/>
        <item x="18"/>
        <item x="19"/>
        <item x="20"/>
        <item x="21"/>
        <item x="22"/>
        <item x="23"/>
        <item x="24"/>
        <item x="25"/>
        <item x="26"/>
        <item x="27"/>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28"/>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x="0"/>
        <item x="1"/>
        <item x="2"/>
        <item x="3"/>
        <item sd="0" x="4"/>
        <item t="default"/>
      </items>
    </pivotField>
  </pivotFields>
  <rowFields count="4">
    <field x="13"/>
    <field x="12"/>
    <field x="11"/>
    <field x="5"/>
  </rowFields>
  <rowItems count="18">
    <i>
      <x/>
    </i>
    <i r="1">
      <x/>
    </i>
    <i>
      <x v="1"/>
    </i>
    <i r="1">
      <x v="1"/>
    </i>
    <i r="1">
      <x v="2"/>
    </i>
    <i r="1">
      <x v="3"/>
    </i>
    <i r="1">
      <x v="4"/>
    </i>
    <i>
      <x v="2"/>
    </i>
    <i r="1">
      <x v="1"/>
    </i>
    <i r="1">
      <x v="2"/>
    </i>
    <i r="1">
      <x v="3"/>
    </i>
    <i r="1">
      <x v="4"/>
    </i>
    <i>
      <x v="3"/>
    </i>
    <i r="1">
      <x v="1"/>
    </i>
    <i r="1">
      <x v="2"/>
    </i>
    <i r="1">
      <x v="3"/>
    </i>
    <i r="1">
      <x v="4"/>
    </i>
    <i t="grand">
      <x/>
    </i>
  </rowItems>
  <colItems count="1">
    <i/>
  </colItems>
  <dataFields count="1">
    <dataField name="Count of Employe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D16D85-7B7E-4A88-A17B-AD7C669C11DC}"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3" firstHeaderRow="1" firstDataRow="1" firstDataCol="1"/>
  <pivotFields count="14">
    <pivotField showAll="0"/>
    <pivotField showAll="0"/>
    <pivotField axis="axisRow" showAll="0">
      <items count="7">
        <item x="1"/>
        <item x="0"/>
        <item x="3"/>
        <item x="4"/>
        <item x="2"/>
        <item x="5"/>
        <item t="default"/>
      </items>
    </pivotField>
    <pivotField showAll="0"/>
    <pivotField showAll="0"/>
    <pivotField showAll="0">
      <items count="140">
        <item x="0"/>
        <item x="1"/>
        <item x="2"/>
        <item x="3"/>
        <item x="4"/>
        <item x="5"/>
        <item x="6"/>
        <item x="7"/>
        <item x="8"/>
        <item x="9"/>
        <item x="10"/>
        <item x="11"/>
        <item x="12"/>
        <item x="13"/>
        <item x="14"/>
        <item x="15"/>
        <item x="16"/>
        <item x="17"/>
        <item x="18"/>
        <item x="19"/>
        <item x="20"/>
        <item x="21"/>
        <item x="22"/>
        <item x="23"/>
        <item x="24"/>
        <item x="25"/>
        <item x="26"/>
        <item x="27"/>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28"/>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Items count="1">
    <i/>
  </colItems>
  <dataFields count="1">
    <dataField name="Sum of Performance Rating" fld="7" baseField="2" baseItem="2"/>
  </dataFields>
  <formats count="2">
    <format dxfId="94">
      <pivotArea collapsedLevelsAreSubtotals="1" fieldPosition="0">
        <references count="1">
          <reference field="2" count="0"/>
        </references>
      </pivotArea>
    </format>
    <format dxfId="9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BE79CF-F14E-45A8-9C9F-7B51CB9FC042}"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2" firstHeaderRow="1" firstDataRow="1" firstDataCol="1"/>
  <pivotFields count="14">
    <pivotField dataField="1" showAll="0">
      <items count="1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showAll="0"/>
    <pivotField showAll="0">
      <items count="7">
        <item x="1"/>
        <item x="0"/>
        <item x="3"/>
        <item x="4"/>
        <item x="2"/>
        <item x="5"/>
        <item t="default"/>
      </items>
    </pivotField>
    <pivotField axis="axisRow" showAll="0">
      <items count="7">
        <item n="Unknown" x="5"/>
        <item x="4"/>
        <item x="0"/>
        <item x="2"/>
        <item x="3"/>
        <item x="1"/>
        <item t="default"/>
      </items>
    </pivotField>
    <pivotField showAll="0"/>
    <pivotField showAll="0">
      <items count="140">
        <item x="0"/>
        <item x="1"/>
        <item x="2"/>
        <item x="3"/>
        <item x="4"/>
        <item x="5"/>
        <item x="6"/>
        <item x="7"/>
        <item x="8"/>
        <item x="9"/>
        <item x="10"/>
        <item x="11"/>
        <item x="12"/>
        <item x="13"/>
        <item x="14"/>
        <item x="15"/>
        <item x="16"/>
        <item x="17"/>
        <item x="18"/>
        <item x="19"/>
        <item x="20"/>
        <item x="21"/>
        <item x="22"/>
        <item x="23"/>
        <item x="24"/>
        <item x="25"/>
        <item x="26"/>
        <item x="27"/>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28"/>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t="grand">
      <x/>
    </i>
  </rowItems>
  <colItems count="1">
    <i/>
  </colItems>
  <dataFields count="1">
    <dataField name="Count of Employee 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3" format="12">
      <pivotArea type="data" outline="0" fieldPosition="0">
        <references count="2">
          <reference field="4294967294" count="1" selected="0">
            <x v="0"/>
          </reference>
          <reference field="3" count="1" selected="0">
            <x v="3"/>
          </reference>
        </references>
      </pivotArea>
    </chartFormat>
    <chartFormat chart="3" format="13">
      <pivotArea type="data" outline="0" fieldPosition="0">
        <references count="2">
          <reference field="4294967294" count="1" selected="0">
            <x v="0"/>
          </reference>
          <reference field="3" count="1" selected="0">
            <x v="4"/>
          </reference>
        </references>
      </pivotArea>
    </chartFormat>
    <chartFormat chart="3"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08DCC-8260-42DA-8684-B6B45398C610}"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 colHeaderCaption="GENDER">
  <location ref="A3:F11" firstHeaderRow="1" firstDataRow="2" firstDataCol="1"/>
  <pivotFields count="14">
    <pivotField showAll="0"/>
    <pivotField showAll="0"/>
    <pivotField axis="axisRow" showAll="0">
      <items count="7">
        <item x="1"/>
        <item x="0"/>
        <item x="3"/>
        <item x="4"/>
        <item x="2"/>
        <item x="5"/>
        <item t="default"/>
      </items>
    </pivotField>
    <pivotField showAll="0"/>
    <pivotField dataField="1" showAll="0"/>
    <pivotField showAll="0">
      <items count="140">
        <item x="0"/>
        <item x="1"/>
        <item x="2"/>
        <item x="3"/>
        <item x="4"/>
        <item x="5"/>
        <item x="6"/>
        <item x="7"/>
        <item x="8"/>
        <item x="9"/>
        <item x="10"/>
        <item x="11"/>
        <item x="12"/>
        <item x="13"/>
        <item x="14"/>
        <item x="15"/>
        <item x="16"/>
        <item x="17"/>
        <item x="18"/>
        <item x="19"/>
        <item x="20"/>
        <item x="21"/>
        <item x="22"/>
        <item x="23"/>
        <item x="24"/>
        <item x="25"/>
        <item x="26"/>
        <item x="27"/>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28"/>
        <item t="default"/>
      </items>
    </pivotField>
    <pivotField showAll="0"/>
    <pivotField showAll="0"/>
    <pivotField axis="axisCol" showAll="0">
      <items count="5">
        <item x="3"/>
        <item x="2"/>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i>
    <i>
      <x v="1"/>
    </i>
    <i>
      <x v="2"/>
    </i>
    <i>
      <x v="3"/>
    </i>
    <i>
      <x v="4"/>
    </i>
    <i>
      <x v="5"/>
    </i>
    <i t="grand">
      <x/>
    </i>
  </rowItems>
  <colFields count="1">
    <field x="8"/>
  </colFields>
  <colItems count="5">
    <i>
      <x/>
    </i>
    <i>
      <x v="1"/>
    </i>
    <i>
      <x v="2"/>
    </i>
    <i>
      <x v="3"/>
    </i>
    <i t="grand">
      <x/>
    </i>
  </colItems>
  <dataFields count="1">
    <dataField name="SALARY BY DEPARTMENT VS GENDER" fld="4" baseField="0" baseItem="0"/>
  </dataFields>
  <formats count="4">
    <format dxfId="80">
      <pivotArea dataOnly="0" labelOnly="1" fieldPosition="0">
        <references count="1">
          <reference field="8" count="1">
            <x v="0"/>
          </reference>
        </references>
      </pivotArea>
    </format>
    <format dxfId="28">
      <pivotArea outline="0" collapsedLevelsAreSubtotals="1" fieldPosition="0">
        <references count="1">
          <reference field="8" count="2" selected="0">
            <x v="1"/>
            <x v="2"/>
          </reference>
        </references>
      </pivotArea>
    </format>
    <format dxfId="27">
      <pivotArea type="topRight" dataOnly="0" labelOnly="1" outline="0" fieldPosition="0"/>
    </format>
    <format dxfId="26">
      <pivotArea dataOnly="0" labelOnly="1" fieldPosition="0">
        <references count="1">
          <reference field="8" count="2">
            <x v="1"/>
            <x v="2"/>
          </reference>
        </references>
      </pivotArea>
    </format>
  </formats>
  <chartFormats count="1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5" format="8" series="1">
      <pivotArea type="data" outline="0" fieldPosition="0">
        <references count="2">
          <reference field="4294967294" count="1" selected="0">
            <x v="0"/>
          </reference>
          <reference field="8" count="1" selected="0">
            <x v="0"/>
          </reference>
        </references>
      </pivotArea>
    </chartFormat>
    <chartFormat chart="5" format="9" series="1">
      <pivotArea type="data" outline="0" fieldPosition="0">
        <references count="2">
          <reference field="4294967294" count="1" selected="0">
            <x v="0"/>
          </reference>
          <reference field="8" count="1" selected="0">
            <x v="1"/>
          </reference>
        </references>
      </pivotArea>
    </chartFormat>
    <chartFormat chart="5" format="10" series="1">
      <pivotArea type="data" outline="0" fieldPosition="0">
        <references count="2">
          <reference field="4294967294" count="1" selected="0">
            <x v="0"/>
          </reference>
          <reference field="8" count="1" selected="0">
            <x v="2"/>
          </reference>
        </references>
      </pivotArea>
    </chartFormat>
    <chartFormat chart="5" format="11" series="1">
      <pivotArea type="data" outline="0" fieldPosition="0">
        <references count="2">
          <reference field="4294967294" count="1" selected="0">
            <x v="0"/>
          </reference>
          <reference field="8" count="1" selected="0">
            <x v="3"/>
          </reference>
        </references>
      </pivotArea>
    </chartFormat>
    <chartFormat chart="8" format="16" series="1">
      <pivotArea type="data" outline="0" fieldPosition="0">
        <references count="2">
          <reference field="4294967294" count="1" selected="0">
            <x v="0"/>
          </reference>
          <reference field="8" count="1" selected="0">
            <x v="0"/>
          </reference>
        </references>
      </pivotArea>
    </chartFormat>
    <chartFormat chart="8" format="17" series="1">
      <pivotArea type="data" outline="0" fieldPosition="0">
        <references count="2">
          <reference field="4294967294" count="1" selected="0">
            <x v="0"/>
          </reference>
          <reference field="8" count="1" selected="0">
            <x v="1"/>
          </reference>
        </references>
      </pivotArea>
    </chartFormat>
    <chartFormat chart="8" format="18" series="1">
      <pivotArea type="data" outline="0" fieldPosition="0">
        <references count="2">
          <reference field="4294967294" count="1" selected="0">
            <x v="0"/>
          </reference>
          <reference field="8" count="1" selected="0">
            <x v="2"/>
          </reference>
        </references>
      </pivotArea>
    </chartFormat>
    <chartFormat chart="8" format="19" series="1">
      <pivotArea type="data" outline="0" fieldPosition="0">
        <references count="2">
          <reference field="4294967294" count="1" selected="0">
            <x v="0"/>
          </reference>
          <reference field="8" count="1" selected="0">
            <x v="3"/>
          </reference>
        </references>
      </pivotArea>
    </chartFormat>
    <chartFormat chart="11" format="24" series="1">
      <pivotArea type="data" outline="0" fieldPosition="0">
        <references count="2">
          <reference field="4294967294" count="1" selected="0">
            <x v="0"/>
          </reference>
          <reference field="8" count="1" selected="0">
            <x v="0"/>
          </reference>
        </references>
      </pivotArea>
    </chartFormat>
    <chartFormat chart="11" format="25" series="1">
      <pivotArea type="data" outline="0" fieldPosition="0">
        <references count="2">
          <reference field="4294967294" count="1" selected="0">
            <x v="0"/>
          </reference>
          <reference field="8" count="1" selected="0">
            <x v="1"/>
          </reference>
        </references>
      </pivotArea>
    </chartFormat>
    <chartFormat chart="11" format="26" series="1">
      <pivotArea type="data" outline="0" fieldPosition="0">
        <references count="2">
          <reference field="4294967294" count="1" selected="0">
            <x v="0"/>
          </reference>
          <reference field="8" count="1" selected="0">
            <x v="2"/>
          </reference>
        </references>
      </pivotArea>
    </chartFormat>
    <chartFormat chart="11" format="27"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3D2CED6-8C63-4ADD-88CF-F2BB6048B785}" autoFormatId="16" applyNumberFormats="0" applyBorderFormats="0" applyFontFormats="0" applyPatternFormats="0" applyAlignmentFormats="0" applyWidthHeightFormats="0">
  <queryTableRefresh nextId="14" unboundColumnsRight="1">
    <queryTableFields count="11">
      <queryTableField id="1" name="Employee ID" tableColumnId="1"/>
      <queryTableField id="12" dataBound="0" tableColumnId="12"/>
      <queryTableField id="4" name="Department" tableColumnId="4"/>
      <queryTableField id="5" name="Country" tableColumnId="5"/>
      <queryTableField id="6" name="Salary" tableColumnId="6"/>
      <queryTableField id="7" name="Date of Joining" tableColumnId="7"/>
      <queryTableField id="8" name="PERFORMANCE LEVEL" tableColumnId="8"/>
      <queryTableField id="9" name="Performance Rating" tableColumnId="9"/>
      <queryTableField id="10" name="Gender" tableColumnId="10"/>
      <queryTableField id="11" name="Email" tableColumnId="11"/>
      <queryTableField id="13" dataBound="0" tableColumnId="13"/>
    </queryTableFields>
    <queryTableDeletedFields count="2">
      <deletedField name="Employee last name"/>
      <deletedField name="Employee first nam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E215E9B-85BF-4141-ADFA-B33C471844EA}" autoFormatId="16" applyNumberFormats="0" applyBorderFormats="0" applyFontFormats="0" applyPatternFormats="0" applyAlignmentFormats="0" applyWidthHeightFormats="0">
  <queryTableRefresh nextId="15">
    <queryTableFields count="10">
      <queryTableField id="1" name="Employee ID" tableColumnId="1"/>
      <queryTableField id="13" dataBound="0" tableColumnId="13"/>
      <queryTableField id="3" name="Department" tableColumnId="3"/>
      <queryTableField id="4" name="Country" tableColumnId="4"/>
      <queryTableField id="5" name="Salary" tableColumnId="5"/>
      <queryTableField id="6" name="Date of Joining" tableColumnId="6"/>
      <queryTableField id="10" dataBound="0" tableColumnId="10"/>
      <queryTableField id="7" name="Performance Rating" tableColumnId="7"/>
      <queryTableField id="8" name="Gender" tableColumnId="8"/>
      <queryTableField id="9" name="Email" tableColumnId="9"/>
    </queryTableFields>
    <queryTableDeletedFields count="1">
      <deletedField name="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04AE2A4-A286-43E1-8BB6-ED0452584B59}" sourceName="Department">
  <pivotTables>
    <pivotTable tabId="4" name="PivotTable5"/>
  </pivotTables>
  <data>
    <tabular pivotCacheId="2116869306">
      <items count="6">
        <i x="1" s="1"/>
        <i x="0" s="1"/>
        <i x="3"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49DC5729-10AD-4A2F-8F91-BF5E9F47BEA4}" sourceName="Department">
  <pivotTables>
    <pivotTable tabId="4" name="PivotTable1"/>
    <pivotTable tabId="4" name="PivotTable2"/>
    <pivotTable tabId="4" name="PivotTable3"/>
    <pivotTable tabId="4" name="PivotTable4"/>
  </pivotTables>
  <data>
    <tabular pivotCacheId="718543697">
      <items count="6">
        <i x="1" s="1"/>
        <i x="0" s="1"/>
        <i x="3" s="1"/>
        <i x="4"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5BB7D39-DB4E-4339-AA96-A32ACE1930D8}" cache="Slicer_Department" caption="Department" rowHeight="247650"/>
  <slicer name="Department 1" xr10:uid="{CBE10519-4F31-446D-8EE9-172DC1CA9904}" cache="Slicer_Department1" caption="Depart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F312D61A-4DFF-4A33-BDA2-CBFA3A4161A0}" cache="Slicer_Department1" caption="Departmen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3EF54EC-E984-4CB0-85FC-E824E0D54A0F}" name="Sheet1__2" displayName="Sheet1__2" ref="A1:K140" tableType="queryTable" totalsRowShown="0">
  <autoFilter ref="A1:K140" xr:uid="{93EF54EC-E984-4CB0-85FC-E824E0D54A0F}"/>
  <tableColumns count="11">
    <tableColumn id="1" xr3:uid="{0F30997F-9477-418F-A88C-D5389299306A}" uniqueName="1" name="Employee ID" queryTableFieldId="1" dataDxfId="112"/>
    <tableColumn id="12" xr3:uid="{BCB9A91A-98AD-4C51-AF01-004F7EA88DCC}" uniqueName="12" name="Employee Name" queryTableFieldId="12" dataDxfId="111"/>
    <tableColumn id="4" xr3:uid="{5EDDB247-391F-4D6A-B5B5-428880B62CEB}" uniqueName="4" name="Department" queryTableFieldId="4" dataDxfId="110"/>
    <tableColumn id="5" xr3:uid="{D95705E7-14D2-4029-902E-C36F1F3A3AF5}" uniqueName="5" name="Country" queryTableFieldId="5" dataDxfId="109"/>
    <tableColumn id="6" xr3:uid="{445716C5-9E1D-450D-8D56-AD2C26458F1D}" uniqueName="6" name="Salary" queryTableFieldId="6"/>
    <tableColumn id="7" xr3:uid="{BA3A725E-D2EF-4D9B-9CB5-3708C5A81DAB}" uniqueName="7" name="Date of Joining" queryTableFieldId="7" dataDxfId="108"/>
    <tableColumn id="8" xr3:uid="{4635009B-3641-4E9F-87AD-57EEC5DEF34A}" uniqueName="8" name="PERFORMANCE LEVEL" queryTableFieldId="8" dataDxfId="107"/>
    <tableColumn id="9" xr3:uid="{522EBFB3-5E1D-44A3-840B-A7C9DC3168C5}" uniqueName="9" name="Performance Rating" queryTableFieldId="9"/>
    <tableColumn id="10" xr3:uid="{F8B05D4A-D80D-441F-AB0C-391BA63EFCD9}" uniqueName="10" name="Gender" queryTableFieldId="10" dataDxfId="106"/>
    <tableColumn id="11" xr3:uid="{B5505587-C5D6-4244-821B-36398D2C403B}" uniqueName="11" name="Email" queryTableFieldId="11" dataDxfId="105"/>
    <tableColumn id="13" xr3:uid="{054358F9-3430-4BE5-8FE3-E9BA3B892CA1}" uniqueName="13" name="NO.OF MONTHS AS OF NOW" queryTableFieldId="13" dataDxfId="104">
      <calculatedColumnFormula>DATEDIF(Sheet1__2[[#This Row],[Date of Joining]],$S$6,"M")</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4B75D7-8977-40BE-BF77-732935034D3A}" name="Table2" displayName="Table2" ref="O22:R28" totalsRowShown="0">
  <autoFilter ref="O22:R28" xr:uid="{A84B75D7-8977-40BE-BF77-732935034D3A}"/>
  <tableColumns count="4">
    <tableColumn id="1" xr3:uid="{F4A046E8-885B-4AF0-B0F1-72AF478D16E9}" name="EMPLOYEE ID"/>
    <tableColumn id="2" xr3:uid="{03CAB4EE-67EF-4322-BB98-513D95134DAB}" name="DEPARTMENT(XLOOKUP)">
      <calculatedColumnFormula array="1">_xlfn.XLOOKUP(O23,Sheet1__2[Employee ID],$C$2:$C$140,"NOT FOUND")</calculatedColumnFormula>
    </tableColumn>
    <tableColumn id="3" xr3:uid="{EC468FD2-0D96-4013-B4CA-70BE0D38DCD4}" name="MATCH">
      <calculatedColumnFormula>MATCH(O23,Sheet1__2[Employee ID],0)</calculatedColumnFormula>
    </tableColumn>
    <tableColumn id="4" xr3:uid="{42F48B8E-5218-47E2-9C6C-FD5F99396DDB}" name="INDEX">
      <calculatedColumnFormula array="1">INDEX(Sheet1__2[Country],Q23)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171916-BBC8-4C64-AE10-A78F403BFFA5}" name="Table4" displayName="Table4" ref="R16:T17" totalsRowShown="0">
  <autoFilter ref="R16:T17" xr:uid="{3A171916-BBC8-4C64-AE10-A78F403BFFA5}"/>
  <tableColumns count="3">
    <tableColumn id="1" xr3:uid="{F457FB29-4DD3-4CB6-8355-F902C889D2C8}" name="FUNCTION"/>
    <tableColumn id="2" xr3:uid="{501FDF9D-23AD-49F3-9237-D5952FF72522}" name="FORMULA"/>
    <tableColumn id="3" xr3:uid="{21F2A2C3-B5E9-485B-BFA2-027994B80997}" name="ANSWER">
      <calculatedColumnFormula>VLOOKUP(A19,Sheet1__2[[Employee ID]:[Country]],4,FALSE)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B99AC2-4055-4569-9B1A-FACDC805BA7A}" name="Sheet1" displayName="Sheet1" ref="A1:J150" tableType="queryTable" totalsRowShown="0">
  <autoFilter ref="A1:J150" xr:uid="{CDB99AC2-4055-4569-9B1A-FACDC805BA7A}"/>
  <tableColumns count="10">
    <tableColumn id="1" xr3:uid="{CC5D4A2E-6E18-4D0C-886C-4A4B26924B62}" uniqueName="1" name="Employee ID" queryTableFieldId="1" dataDxfId="103"/>
    <tableColumn id="13" xr3:uid="{D696E0A0-AD8B-44F2-9B20-21DC7E5E195E}" uniqueName="13" name="Name" queryTableFieldId="13" dataDxfId="102"/>
    <tableColumn id="3" xr3:uid="{39E96B02-69E3-4A93-A337-0DC6A00A3081}" uniqueName="3" name="Department" queryTableFieldId="3" dataDxfId="101"/>
    <tableColumn id="4" xr3:uid="{565E58F5-257D-436D-B6E5-9CA5B4F1B800}" uniqueName="4" name="Country" queryTableFieldId="4" dataDxfId="100"/>
    <tableColumn id="5" xr3:uid="{2CA89729-3EF1-447D-BB18-73E63D686EC9}" uniqueName="5" name="Salary" queryTableFieldId="5"/>
    <tableColumn id="6" xr3:uid="{DDC8C7D1-4953-4B5D-8312-E276D2E6222A}" uniqueName="6" name="Date of Joining" queryTableFieldId="6" dataDxfId="99"/>
    <tableColumn id="10" xr3:uid="{0C24FB29-32FD-497D-9EDC-B99BAEC40353}" uniqueName="10" name="PERFORMANCE LEVEL" queryTableFieldId="10" dataDxfId="98">
      <calculatedColumnFormula>IF(H1&gt;3,"GOOD","NEED TO IMPROVE")</calculatedColumnFormula>
    </tableColumn>
    <tableColumn id="7" xr3:uid="{8E4583E4-0BB3-4F2D-BAC6-897938330BE1}" uniqueName="7" name="Performance Rating" queryTableFieldId="7"/>
    <tableColumn id="8" xr3:uid="{EE6682C8-6CA9-4BFC-9056-1F3E8908A04E}" uniqueName="8" name="Gender" queryTableFieldId="8" dataDxfId="97"/>
    <tableColumn id="9" xr3:uid="{EC7563DF-4D0A-489D-A9FF-D9B9FDC01821}" uniqueName="9" name="Email" queryTableFieldId="9" dataDxfId="9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589637-FB1A-4A70-9289-A7D114718AA3}" name="Table5" displayName="Table5" ref="M13:N19" totalsRowShown="0">
  <autoFilter ref="M13:N19" xr:uid="{69589637-FB1A-4A70-9289-A7D114718AA3}"/>
  <tableColumns count="2">
    <tableColumn id="1" xr3:uid="{31FEDC6C-4ACF-42B4-9C1D-E4F81F37E862}" name="FUNCTIONS"/>
    <tableColumn id="2" xr3:uid="{F4922465-2A5F-451E-8732-50B077FEEEB6}" name="ANSWER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EF6F11-F74C-44FF-83E1-4A12E34ED816}" name="Table7" displayName="Table7" ref="M21:N26" totalsRowShown="0">
  <autoFilter ref="M21:N26" xr:uid="{2DEF6F11-F74C-44FF-83E1-4A12E34ED816}"/>
  <tableColumns count="2">
    <tableColumn id="1" xr3:uid="{2DABA3A1-76E9-41CF-9A98-FC908857C001}" name="FUNCTIONS"/>
    <tableColumn id="2" xr3:uid="{E8F6832D-2EC3-41C6-BB70-2A3432921516}" name="ANSWERS" dataDxfId="9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95F12B3-FC84-4496-9657-824D186F8E2C}" name="Table8" displayName="Table8" ref="M28:N34" totalsRowShown="0">
  <autoFilter ref="M28:N34" xr:uid="{295F12B3-FC84-4496-9657-824D186F8E2C}"/>
  <tableColumns count="2">
    <tableColumn id="1" xr3:uid="{E9FBC5EC-F5CE-48F3-BC23-25950792B97B}" name="FUNCTIONS"/>
    <tableColumn id="2" xr3:uid="{CDD0F512-731B-4B26-A97F-58015EB9A8AB}" name="ANSW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Joining" xr10:uid="{5584FD6E-7F42-44A0-BD51-04BF0EB22BA1}" sourceName="Date of Joining">
  <pivotTables>
    <pivotTable tabId="4" name="PivotTable4"/>
  </pivotTables>
  <state minimalRefreshVersion="6" lastRefreshVersion="6" pivotCacheId="718543697"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xr10:uid="{E081CC82-28D8-4163-806D-CF43610AA5EF}" cache="NativeTimeline_Date_of_Joining" caption="Date of Joining" level="2" selectionLevel="2" scrollPosition="2016-04-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1" xr10:uid="{6819A6D6-3A21-4EC0-9CC5-188F433B77C1}" cache="NativeTimeline_Date_of_Joining" caption="Date of Joining" level="2" selectionLevel="2" scrollPosition="2016-04-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6B52-B471-41E9-916B-4A1FDC368DAF}">
  <dimension ref="A3:H90"/>
  <sheetViews>
    <sheetView tabSelected="1" topLeftCell="A63" workbookViewId="0">
      <selection activeCell="B73" sqref="B73:H90"/>
    </sheetView>
  </sheetViews>
  <sheetFormatPr defaultRowHeight="14.4" x14ac:dyDescent="0.3"/>
  <cols>
    <col min="1" max="1" width="13.44140625" bestFit="1" customWidth="1"/>
    <col min="2" max="2" width="18.6640625" bestFit="1" customWidth="1"/>
    <col min="3" max="4" width="8" style="14" bestFit="1" customWidth="1"/>
    <col min="5" max="5" width="8.5546875" bestFit="1" customWidth="1"/>
    <col min="6" max="6" width="10.5546875" bestFit="1" customWidth="1"/>
    <col min="7" max="7" width="8.5546875" bestFit="1" customWidth="1"/>
    <col min="8" max="8" width="10.5546875" bestFit="1" customWidth="1"/>
    <col min="9" max="10" width="7.5546875" bestFit="1" customWidth="1"/>
    <col min="11" max="11" width="9.21875" bestFit="1" customWidth="1"/>
    <col min="12" max="13" width="12" bestFit="1" customWidth="1"/>
    <col min="14" max="14" width="28.109375" bestFit="1" customWidth="1"/>
    <col min="15" max="15" width="19.6640625" bestFit="1" customWidth="1"/>
  </cols>
  <sheetData>
    <row r="3" spans="1:6" x14ac:dyDescent="0.3">
      <c r="A3" s="11" t="s">
        <v>357</v>
      </c>
      <c r="B3" s="11" t="s">
        <v>359</v>
      </c>
      <c r="E3" s="14"/>
      <c r="F3" s="14"/>
    </row>
    <row r="4" spans="1:6" x14ac:dyDescent="0.3">
      <c r="A4" s="11" t="s">
        <v>358</v>
      </c>
      <c r="B4" s="5" t="s">
        <v>34</v>
      </c>
      <c r="C4" s="14" t="s">
        <v>26</v>
      </c>
      <c r="D4" s="14" t="s">
        <v>17</v>
      </c>
      <c r="E4" t="s">
        <v>11</v>
      </c>
      <c r="F4" t="s">
        <v>341</v>
      </c>
    </row>
    <row r="5" spans="1:6" x14ac:dyDescent="0.3">
      <c r="A5" s="2" t="s">
        <v>9</v>
      </c>
      <c r="B5" s="13">
        <v>97599</v>
      </c>
      <c r="C5" s="18">
        <v>125421</v>
      </c>
      <c r="D5" s="18">
        <v>468788</v>
      </c>
      <c r="E5" s="13">
        <v>620283</v>
      </c>
      <c r="F5" s="13">
        <v>1312091</v>
      </c>
    </row>
    <row r="6" spans="1:6" x14ac:dyDescent="0.3">
      <c r="A6" s="2" t="s">
        <v>15</v>
      </c>
      <c r="B6" s="13">
        <v>262441</v>
      </c>
      <c r="C6" s="18">
        <v>458095</v>
      </c>
      <c r="D6" s="18">
        <v>436781</v>
      </c>
      <c r="E6" s="13">
        <v>402878</v>
      </c>
      <c r="F6" s="13">
        <v>1560195</v>
      </c>
    </row>
    <row r="7" spans="1:6" x14ac:dyDescent="0.3">
      <c r="A7" s="2" t="s">
        <v>32</v>
      </c>
      <c r="B7" s="13">
        <v>530948</v>
      </c>
      <c r="C7" s="18">
        <v>617240</v>
      </c>
      <c r="D7" s="18">
        <v>226592</v>
      </c>
      <c r="E7" s="13">
        <v>213000</v>
      </c>
      <c r="F7" s="13">
        <v>1587780</v>
      </c>
    </row>
    <row r="8" spans="1:6" x14ac:dyDescent="0.3">
      <c r="A8" s="2" t="s">
        <v>40</v>
      </c>
      <c r="B8" s="13">
        <v>290007</v>
      </c>
      <c r="C8" s="18">
        <v>191535</v>
      </c>
      <c r="D8" s="18">
        <v>595664</v>
      </c>
      <c r="E8" s="13">
        <v>578648</v>
      </c>
      <c r="F8" s="13">
        <v>1655854</v>
      </c>
    </row>
    <row r="9" spans="1:6" x14ac:dyDescent="0.3">
      <c r="A9" s="2" t="s">
        <v>24</v>
      </c>
      <c r="B9" s="13">
        <v>475119</v>
      </c>
      <c r="C9" s="18">
        <v>434712</v>
      </c>
      <c r="D9" s="18">
        <v>261842</v>
      </c>
      <c r="E9" s="13">
        <v>446972</v>
      </c>
      <c r="F9" s="13">
        <v>1618645</v>
      </c>
    </row>
    <row r="10" spans="1:6" x14ac:dyDescent="0.3">
      <c r="A10" s="2" t="s">
        <v>11</v>
      </c>
      <c r="B10" s="13">
        <v>365275</v>
      </c>
      <c r="C10" s="18">
        <v>327919</v>
      </c>
      <c r="D10" s="18">
        <v>202530</v>
      </c>
      <c r="E10" s="13">
        <v>671335</v>
      </c>
      <c r="F10" s="13">
        <v>1567059</v>
      </c>
    </row>
    <row r="11" spans="1:6" x14ac:dyDescent="0.3">
      <c r="A11" s="2" t="s">
        <v>341</v>
      </c>
      <c r="B11" s="13">
        <v>2021389</v>
      </c>
      <c r="C11" s="18">
        <v>2154922</v>
      </c>
      <c r="D11" s="18">
        <v>2192197</v>
      </c>
      <c r="E11" s="13">
        <v>2933116</v>
      </c>
      <c r="F11" s="13">
        <v>9301624</v>
      </c>
    </row>
    <row r="15" spans="1:6" x14ac:dyDescent="0.3">
      <c r="A15" s="11" t="s">
        <v>340</v>
      </c>
      <c r="B15" t="s">
        <v>344</v>
      </c>
    </row>
    <row r="16" spans="1:6" x14ac:dyDescent="0.3">
      <c r="A16" s="2" t="s">
        <v>11</v>
      </c>
      <c r="B16" s="13">
        <v>3</v>
      </c>
    </row>
    <row r="17" spans="1:2" x14ac:dyDescent="0.3">
      <c r="A17" s="2" t="s">
        <v>62</v>
      </c>
      <c r="B17" s="13">
        <v>19</v>
      </c>
    </row>
    <row r="18" spans="1:2" x14ac:dyDescent="0.3">
      <c r="A18" s="2" t="s">
        <v>16</v>
      </c>
      <c r="B18" s="13">
        <v>22</v>
      </c>
    </row>
    <row r="19" spans="1:2" x14ac:dyDescent="0.3">
      <c r="A19" s="2" t="s">
        <v>33</v>
      </c>
      <c r="B19" s="13">
        <v>50</v>
      </c>
    </row>
    <row r="20" spans="1:2" x14ac:dyDescent="0.3">
      <c r="A20" s="2" t="s">
        <v>45</v>
      </c>
      <c r="B20" s="13">
        <v>24</v>
      </c>
    </row>
    <row r="21" spans="1:2" x14ac:dyDescent="0.3">
      <c r="A21" s="2" t="s">
        <v>25</v>
      </c>
      <c r="B21" s="13">
        <v>21</v>
      </c>
    </row>
    <row r="22" spans="1:2" x14ac:dyDescent="0.3">
      <c r="A22" s="2" t="s">
        <v>341</v>
      </c>
      <c r="B22" s="13">
        <v>139</v>
      </c>
    </row>
    <row r="26" spans="1:2" x14ac:dyDescent="0.3">
      <c r="A26" s="11" t="s">
        <v>340</v>
      </c>
      <c r="B26" t="s">
        <v>347</v>
      </c>
    </row>
    <row r="27" spans="1:2" x14ac:dyDescent="0.3">
      <c r="A27" s="2" t="s">
        <v>9</v>
      </c>
      <c r="B27" s="15">
        <v>43</v>
      </c>
    </row>
    <row r="28" spans="1:2" x14ac:dyDescent="0.3">
      <c r="A28" s="2" t="s">
        <v>15</v>
      </c>
      <c r="B28" s="15">
        <v>52</v>
      </c>
    </row>
    <row r="29" spans="1:2" x14ac:dyDescent="0.3">
      <c r="A29" s="2" t="s">
        <v>32</v>
      </c>
      <c r="B29" s="15">
        <v>48</v>
      </c>
    </row>
    <row r="30" spans="1:2" x14ac:dyDescent="0.3">
      <c r="A30" s="2" t="s">
        <v>40</v>
      </c>
      <c r="B30" s="15">
        <v>81</v>
      </c>
    </row>
    <row r="31" spans="1:2" x14ac:dyDescent="0.3">
      <c r="A31" s="2" t="s">
        <v>24</v>
      </c>
      <c r="B31" s="15">
        <v>51</v>
      </c>
    </row>
    <row r="32" spans="1:2" x14ac:dyDescent="0.3">
      <c r="A32" s="2" t="s">
        <v>11</v>
      </c>
      <c r="B32" s="15">
        <v>53</v>
      </c>
    </row>
    <row r="33" spans="1:2" x14ac:dyDescent="0.3">
      <c r="A33" s="2" t="s">
        <v>341</v>
      </c>
      <c r="B33" s="15">
        <v>328</v>
      </c>
    </row>
    <row r="38" spans="1:2" x14ac:dyDescent="0.3">
      <c r="A38" s="11" t="s">
        <v>340</v>
      </c>
      <c r="B38" t="s">
        <v>344</v>
      </c>
    </row>
    <row r="39" spans="1:2" x14ac:dyDescent="0.3">
      <c r="A39" s="2" t="s">
        <v>349</v>
      </c>
      <c r="B39" s="13">
        <v>1</v>
      </c>
    </row>
    <row r="40" spans="1:2" x14ac:dyDescent="0.3">
      <c r="A40" s="12" t="s">
        <v>349</v>
      </c>
      <c r="B40" s="13">
        <v>1</v>
      </c>
    </row>
    <row r="41" spans="1:2" x14ac:dyDescent="0.3">
      <c r="A41" s="2" t="s">
        <v>348</v>
      </c>
      <c r="B41" s="13">
        <v>47</v>
      </c>
    </row>
    <row r="42" spans="1:2" x14ac:dyDescent="0.3">
      <c r="A42" s="12" t="s">
        <v>352</v>
      </c>
      <c r="B42" s="13">
        <v>12</v>
      </c>
    </row>
    <row r="43" spans="1:2" x14ac:dyDescent="0.3">
      <c r="A43" s="12" t="s">
        <v>353</v>
      </c>
      <c r="B43" s="13">
        <v>12</v>
      </c>
    </row>
    <row r="44" spans="1:2" x14ac:dyDescent="0.3">
      <c r="A44" s="12" t="s">
        <v>354</v>
      </c>
      <c r="B44" s="13">
        <v>12</v>
      </c>
    </row>
    <row r="45" spans="1:2" x14ac:dyDescent="0.3">
      <c r="A45" s="12" t="s">
        <v>355</v>
      </c>
      <c r="B45" s="13">
        <v>11</v>
      </c>
    </row>
    <row r="46" spans="1:2" x14ac:dyDescent="0.3">
      <c r="A46" s="2" t="s">
        <v>350</v>
      </c>
      <c r="B46" s="13">
        <v>49</v>
      </c>
    </row>
    <row r="47" spans="1:2" x14ac:dyDescent="0.3">
      <c r="A47" s="12" t="s">
        <v>352</v>
      </c>
      <c r="B47" s="13">
        <v>12</v>
      </c>
    </row>
    <row r="48" spans="1:2" x14ac:dyDescent="0.3">
      <c r="A48" s="12" t="s">
        <v>353</v>
      </c>
      <c r="B48" s="13">
        <v>13</v>
      </c>
    </row>
    <row r="49" spans="1:8" x14ac:dyDescent="0.3">
      <c r="A49" s="12" t="s">
        <v>354</v>
      </c>
      <c r="B49" s="13">
        <v>12</v>
      </c>
    </row>
    <row r="50" spans="1:8" x14ac:dyDescent="0.3">
      <c r="A50" s="12" t="s">
        <v>355</v>
      </c>
      <c r="B50" s="13">
        <v>12</v>
      </c>
    </row>
    <row r="51" spans="1:8" x14ac:dyDescent="0.3">
      <c r="A51" s="2" t="s">
        <v>351</v>
      </c>
      <c r="B51" s="13">
        <v>42</v>
      </c>
    </row>
    <row r="52" spans="1:8" x14ac:dyDescent="0.3">
      <c r="A52" s="12" t="s">
        <v>352</v>
      </c>
      <c r="B52" s="13">
        <v>12</v>
      </c>
    </row>
    <row r="53" spans="1:8" x14ac:dyDescent="0.3">
      <c r="A53" s="12" t="s">
        <v>353</v>
      </c>
      <c r="B53" s="13">
        <v>12</v>
      </c>
    </row>
    <row r="54" spans="1:8" x14ac:dyDescent="0.3">
      <c r="A54" s="12" t="s">
        <v>354</v>
      </c>
      <c r="B54" s="13">
        <v>11</v>
      </c>
    </row>
    <row r="55" spans="1:8" x14ac:dyDescent="0.3">
      <c r="A55" s="12" t="s">
        <v>355</v>
      </c>
      <c r="B55" s="13">
        <v>7</v>
      </c>
    </row>
    <row r="56" spans="1:8" x14ac:dyDescent="0.3">
      <c r="A56" s="2" t="s">
        <v>341</v>
      </c>
      <c r="B56" s="13">
        <v>139</v>
      </c>
    </row>
    <row r="59" spans="1:8" x14ac:dyDescent="0.3">
      <c r="A59" s="11" t="s">
        <v>6</v>
      </c>
      <c r="B59" t="s">
        <v>356</v>
      </c>
    </row>
    <row r="61" spans="1:8" x14ac:dyDescent="0.3">
      <c r="A61" s="11" t="s">
        <v>343</v>
      </c>
      <c r="B61" s="11" t="s">
        <v>342</v>
      </c>
    </row>
    <row r="62" spans="1:8" x14ac:dyDescent="0.3">
      <c r="A62" s="11" t="s">
        <v>340</v>
      </c>
      <c r="B62" s="5" t="s">
        <v>9</v>
      </c>
      <c r="C62" s="19" t="s">
        <v>15</v>
      </c>
      <c r="D62" s="19" t="s">
        <v>32</v>
      </c>
      <c r="E62" s="17" t="s">
        <v>40</v>
      </c>
      <c r="F62" s="17" t="s">
        <v>24</v>
      </c>
      <c r="G62" s="17" t="s">
        <v>11</v>
      </c>
      <c r="H62" t="s">
        <v>341</v>
      </c>
    </row>
    <row r="63" spans="1:8" x14ac:dyDescent="0.3">
      <c r="A63" s="2" t="s">
        <v>345</v>
      </c>
      <c r="B63" s="15"/>
      <c r="C63" s="20"/>
      <c r="D63" s="20"/>
      <c r="E63" s="15"/>
      <c r="F63" s="13"/>
      <c r="G63" s="13">
        <v>52272</v>
      </c>
      <c r="H63" s="13">
        <v>52272</v>
      </c>
    </row>
    <row r="64" spans="1:8" x14ac:dyDescent="0.3">
      <c r="A64" s="2" t="s">
        <v>62</v>
      </c>
      <c r="B64" s="16">
        <v>137442</v>
      </c>
      <c r="C64" s="21">
        <v>69420</v>
      </c>
      <c r="D64" s="21">
        <v>70470</v>
      </c>
      <c r="E64" s="16">
        <v>245325</v>
      </c>
      <c r="F64" s="16">
        <v>354767</v>
      </c>
      <c r="G64" s="16">
        <v>293163</v>
      </c>
      <c r="H64" s="16">
        <v>1170587</v>
      </c>
    </row>
    <row r="65" spans="1:8" x14ac:dyDescent="0.3">
      <c r="A65" s="2" t="s">
        <v>16</v>
      </c>
      <c r="B65" s="16">
        <v>63184</v>
      </c>
      <c r="C65" s="21">
        <v>635075</v>
      </c>
      <c r="D65" s="21">
        <v>291041</v>
      </c>
      <c r="E65" s="16">
        <v>34402</v>
      </c>
      <c r="F65" s="16">
        <v>192674</v>
      </c>
      <c r="G65" s="16">
        <v>233365</v>
      </c>
      <c r="H65" s="16">
        <v>1449741</v>
      </c>
    </row>
    <row r="66" spans="1:8" x14ac:dyDescent="0.3">
      <c r="A66" s="2" t="s">
        <v>33</v>
      </c>
      <c r="B66" s="16">
        <v>651872</v>
      </c>
      <c r="C66" s="21">
        <v>503166</v>
      </c>
      <c r="D66" s="21">
        <v>742378</v>
      </c>
      <c r="E66" s="16">
        <v>744375</v>
      </c>
      <c r="F66" s="16">
        <v>726982</v>
      </c>
      <c r="G66" s="16">
        <v>440322</v>
      </c>
      <c r="H66" s="16">
        <v>3809095</v>
      </c>
    </row>
    <row r="67" spans="1:8" x14ac:dyDescent="0.3">
      <c r="A67" s="2" t="s">
        <v>45</v>
      </c>
      <c r="B67" s="16">
        <v>212668</v>
      </c>
      <c r="C67" s="21">
        <v>277315</v>
      </c>
      <c r="D67" s="21">
        <v>220971</v>
      </c>
      <c r="E67" s="16">
        <v>352568</v>
      </c>
      <c r="F67" s="16">
        <v>91620</v>
      </c>
      <c r="G67" s="16">
        <v>332203</v>
      </c>
      <c r="H67" s="16">
        <v>1487345</v>
      </c>
    </row>
    <row r="68" spans="1:8" x14ac:dyDescent="0.3">
      <c r="A68" s="2" t="s">
        <v>25</v>
      </c>
      <c r="B68" s="16">
        <v>246925</v>
      </c>
      <c r="C68" s="21">
        <v>75219</v>
      </c>
      <c r="D68" s="21">
        <v>262920</v>
      </c>
      <c r="E68" s="16">
        <v>279184</v>
      </c>
      <c r="F68" s="16">
        <v>332184</v>
      </c>
      <c r="G68" s="16">
        <v>246420</v>
      </c>
      <c r="H68" s="16">
        <v>1442852</v>
      </c>
    </row>
    <row r="69" spans="1:8" x14ac:dyDescent="0.3">
      <c r="A69" s="2" t="s">
        <v>341</v>
      </c>
      <c r="B69" s="16">
        <v>1312091</v>
      </c>
      <c r="C69" s="21">
        <v>1560195</v>
      </c>
      <c r="D69" s="21">
        <v>1587780</v>
      </c>
      <c r="E69" s="16">
        <v>1655854</v>
      </c>
      <c r="F69" s="16">
        <v>1698227</v>
      </c>
      <c r="G69" s="16">
        <v>1597745</v>
      </c>
      <c r="H69" s="16">
        <v>9411892</v>
      </c>
    </row>
    <row r="73" spans="1:8" ht="21" x14ac:dyDescent="0.4">
      <c r="B73" s="1" t="s">
        <v>360</v>
      </c>
    </row>
    <row r="74" spans="1:8" x14ac:dyDescent="0.3">
      <c r="B74" t="s">
        <v>361</v>
      </c>
    </row>
    <row r="75" spans="1:8" x14ac:dyDescent="0.3">
      <c r="B75" t="s">
        <v>362</v>
      </c>
    </row>
    <row r="76" spans="1:8" x14ac:dyDescent="0.3">
      <c r="B76" t="s">
        <v>363</v>
      </c>
    </row>
    <row r="77" spans="1:8" x14ac:dyDescent="0.3">
      <c r="B77" t="s">
        <v>364</v>
      </c>
    </row>
    <row r="78" spans="1:8" x14ac:dyDescent="0.3">
      <c r="B78" t="s">
        <v>365</v>
      </c>
    </row>
    <row r="80" spans="1:8" ht="21" x14ac:dyDescent="0.4">
      <c r="B80" s="1" t="s">
        <v>366</v>
      </c>
    </row>
    <row r="81" spans="2:2" x14ac:dyDescent="0.3">
      <c r="B81" t="s">
        <v>368</v>
      </c>
    </row>
    <row r="82" spans="2:2" x14ac:dyDescent="0.3">
      <c r="B82" t="s">
        <v>370</v>
      </c>
    </row>
    <row r="84" spans="2:2" ht="21" x14ac:dyDescent="0.4">
      <c r="B84" s="1" t="s">
        <v>367</v>
      </c>
    </row>
    <row r="85" spans="2:2" x14ac:dyDescent="0.3">
      <c r="B85" t="s">
        <v>371</v>
      </c>
    </row>
    <row r="88" spans="2:2" ht="21" x14ac:dyDescent="0.4">
      <c r="B88" s="1" t="s">
        <v>369</v>
      </c>
    </row>
    <row r="89" spans="2:2" x14ac:dyDescent="0.3">
      <c r="B89" t="s">
        <v>372</v>
      </c>
    </row>
    <row r="90" spans="2:2" x14ac:dyDescent="0.3">
      <c r="B90" t="s">
        <v>373</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5477D-BA7F-4690-A5AE-33408FDDFD2F}">
  <dimension ref="A1:AA4"/>
  <sheetViews>
    <sheetView topLeftCell="A18" workbookViewId="0">
      <selection activeCell="G27" sqref="G27"/>
    </sheetView>
  </sheetViews>
  <sheetFormatPr defaultRowHeight="14.4" x14ac:dyDescent="0.3"/>
  <cols>
    <col min="1" max="16384" width="8.88671875" style="22"/>
  </cols>
  <sheetData>
    <row r="1" spans="1:27" x14ac:dyDescent="0.3">
      <c r="A1" s="23"/>
      <c r="B1" s="23"/>
      <c r="C1" s="23"/>
      <c r="D1" s="23"/>
      <c r="E1" s="23"/>
      <c r="F1" s="23"/>
      <c r="G1" s="23"/>
      <c r="H1" s="23"/>
      <c r="I1" s="23"/>
      <c r="J1" s="23"/>
      <c r="K1" s="23"/>
      <c r="L1" s="23"/>
      <c r="M1" s="23"/>
      <c r="N1" s="23"/>
      <c r="O1" s="23"/>
      <c r="P1" s="23"/>
      <c r="Q1" s="23"/>
      <c r="R1" s="23"/>
      <c r="S1" s="23"/>
      <c r="T1" s="23"/>
      <c r="U1" s="23"/>
      <c r="V1" s="23"/>
      <c r="W1" s="23"/>
      <c r="X1" s="23"/>
      <c r="Y1" s="23"/>
      <c r="Z1" s="23"/>
      <c r="AA1" s="23"/>
    </row>
    <row r="2" spans="1:27"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row>
    <row r="3" spans="1:27" ht="33.6" x14ac:dyDescent="0.65">
      <c r="A3" s="25"/>
      <c r="B3" s="25"/>
      <c r="C3" s="25"/>
      <c r="D3" s="25"/>
      <c r="E3" s="25"/>
      <c r="F3" s="25"/>
      <c r="G3" s="24" t="s">
        <v>374</v>
      </c>
      <c r="H3" s="24"/>
      <c r="I3" s="25"/>
      <c r="J3" s="25"/>
      <c r="K3" s="25"/>
      <c r="L3" s="25"/>
      <c r="M3" s="25"/>
      <c r="N3" s="25"/>
      <c r="O3" s="25"/>
      <c r="P3" s="25"/>
      <c r="Q3" s="25"/>
      <c r="R3" s="25"/>
      <c r="S3" s="25"/>
      <c r="T3" s="23"/>
      <c r="U3" s="23"/>
      <c r="V3" s="23"/>
      <c r="W3" s="23"/>
      <c r="X3" s="23"/>
      <c r="Y3" s="23"/>
      <c r="Z3" s="23"/>
      <c r="AA3" s="23"/>
    </row>
    <row r="4" spans="1:27" x14ac:dyDescent="0.3">
      <c r="A4" s="23"/>
      <c r="B4" s="23"/>
      <c r="C4" s="23"/>
      <c r="D4" s="23"/>
      <c r="E4" s="23"/>
      <c r="F4" s="23"/>
      <c r="G4" s="23"/>
      <c r="H4" s="23"/>
      <c r="I4" s="23"/>
      <c r="J4" s="23"/>
      <c r="K4" s="23"/>
      <c r="L4" s="23"/>
      <c r="M4" s="23"/>
      <c r="N4" s="23"/>
      <c r="O4" s="23"/>
      <c r="P4" s="23"/>
      <c r="Q4" s="23"/>
      <c r="R4" s="23"/>
      <c r="S4" s="23"/>
      <c r="T4" s="23"/>
      <c r="U4" s="23"/>
      <c r="V4" s="23"/>
      <c r="W4" s="23"/>
      <c r="X4" s="23"/>
      <c r="Y4" s="23"/>
      <c r="Z4" s="23"/>
      <c r="AA4" s="2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738F5-FFD1-4A23-9031-0835B4C29A67}">
  <dimension ref="A1:T140"/>
  <sheetViews>
    <sheetView workbookViewId="0">
      <selection activeCell="C5" sqref="A1:J140"/>
    </sheetView>
  </sheetViews>
  <sheetFormatPr defaultRowHeight="14.4" x14ac:dyDescent="0.3"/>
  <cols>
    <col min="1" max="1" width="13.5546875" bestFit="1" customWidth="1"/>
    <col min="2" max="2" width="20.109375" customWidth="1"/>
    <col min="3" max="3" width="13.21875" bestFit="1" customWidth="1"/>
    <col min="4" max="4" width="9.6640625" bestFit="1" customWidth="1"/>
    <col min="5" max="5" width="8.44140625" bestFit="1" customWidth="1"/>
    <col min="6" max="6" width="15" bestFit="1" customWidth="1"/>
    <col min="7" max="7" width="21.44140625" bestFit="1" customWidth="1"/>
    <col min="8" max="8" width="19.6640625" bestFit="1" customWidth="1"/>
    <col min="9" max="9" width="9.33203125" bestFit="1" customWidth="1"/>
    <col min="10" max="10" width="21.77734375" customWidth="1"/>
    <col min="11" max="11" width="30.44140625" customWidth="1"/>
    <col min="15" max="15" width="19.33203125" customWidth="1"/>
    <col min="16" max="16" width="24.44140625" customWidth="1"/>
    <col min="17" max="17" width="14.109375" customWidth="1"/>
    <col min="18" max="18" width="12.77734375" customWidth="1"/>
    <col min="19" max="19" width="59.109375" customWidth="1"/>
    <col min="20" max="20" width="29.88671875" customWidth="1"/>
  </cols>
  <sheetData>
    <row r="1" spans="1:20" x14ac:dyDescent="0.3">
      <c r="A1" t="s">
        <v>0</v>
      </c>
      <c r="B1" t="s">
        <v>330</v>
      </c>
      <c r="C1" t="s">
        <v>2</v>
      </c>
      <c r="D1" t="s">
        <v>3</v>
      </c>
      <c r="E1" t="s">
        <v>4</v>
      </c>
      <c r="F1" t="s">
        <v>5</v>
      </c>
      <c r="G1" t="s">
        <v>299</v>
      </c>
      <c r="H1" t="s">
        <v>6</v>
      </c>
      <c r="I1" t="s">
        <v>7</v>
      </c>
      <c r="J1" t="s">
        <v>8</v>
      </c>
      <c r="K1" t="s">
        <v>329</v>
      </c>
    </row>
    <row r="2" spans="1:20" x14ac:dyDescent="0.3">
      <c r="A2" t="s">
        <v>13</v>
      </c>
      <c r="B2" t="s">
        <v>14</v>
      </c>
      <c r="C2" t="s">
        <v>15</v>
      </c>
      <c r="D2" t="s">
        <v>16</v>
      </c>
      <c r="E2">
        <v>54255</v>
      </c>
      <c r="F2" s="3">
        <v>42015</v>
      </c>
      <c r="G2" t="s">
        <v>302</v>
      </c>
      <c r="H2">
        <v>1</v>
      </c>
      <c r="I2" t="s">
        <v>17</v>
      </c>
      <c r="J2" t="s">
        <v>18</v>
      </c>
      <c r="K2">
        <f ca="1">DATEDIF(Sheet1__2[[#This Row],[Date of Joining]],$S$6,"M")</f>
        <v>130</v>
      </c>
    </row>
    <row r="3" spans="1:20" x14ac:dyDescent="0.3">
      <c r="A3" t="s">
        <v>19</v>
      </c>
      <c r="B3" t="s">
        <v>20</v>
      </c>
      <c r="C3" t="s">
        <v>9</v>
      </c>
      <c r="D3" t="s">
        <v>16</v>
      </c>
      <c r="E3">
        <v>63184</v>
      </c>
      <c r="F3" s="3">
        <v>42022</v>
      </c>
      <c r="G3" t="s">
        <v>309</v>
      </c>
      <c r="H3">
        <v>2</v>
      </c>
      <c r="I3" t="s">
        <v>11</v>
      </c>
      <c r="J3" t="s">
        <v>21</v>
      </c>
      <c r="K3">
        <f ca="1">DATEDIF(Sheet1__2[[#This Row],[Date of Joining]],$S$6,"M")</f>
        <v>129</v>
      </c>
    </row>
    <row r="4" spans="1:20" ht="15" thickBot="1" x14ac:dyDescent="0.35">
      <c r="A4" t="s">
        <v>22</v>
      </c>
      <c r="B4" t="s">
        <v>23</v>
      </c>
      <c r="C4" t="s">
        <v>24</v>
      </c>
      <c r="D4" t="s">
        <v>25</v>
      </c>
      <c r="E4">
        <v>94406</v>
      </c>
      <c r="F4" s="3">
        <v>42029</v>
      </c>
      <c r="G4" t="s">
        <v>309</v>
      </c>
      <c r="H4">
        <v>1</v>
      </c>
      <c r="I4" t="s">
        <v>26</v>
      </c>
      <c r="J4" t="s">
        <v>27</v>
      </c>
      <c r="K4">
        <f ca="1">DATEDIF(Sheet1__2[[#This Row],[Date of Joining]],$S$6,"M")</f>
        <v>129</v>
      </c>
    </row>
    <row r="5" spans="1:20" x14ac:dyDescent="0.3">
      <c r="A5" t="s">
        <v>28</v>
      </c>
      <c r="B5" t="s">
        <v>29</v>
      </c>
      <c r="C5" t="s">
        <v>24</v>
      </c>
      <c r="D5" t="s">
        <v>16</v>
      </c>
      <c r="E5">
        <v>64120</v>
      </c>
      <c r="F5" s="3">
        <v>42036</v>
      </c>
      <c r="G5" t="s">
        <v>309</v>
      </c>
      <c r="H5">
        <v>1</v>
      </c>
      <c r="I5" t="s">
        <v>26</v>
      </c>
      <c r="J5" t="s">
        <v>30</v>
      </c>
      <c r="K5">
        <f ca="1">DATEDIF(Sheet1__2[[#This Row],[Date of Joining]],$S$6,"M")</f>
        <v>129</v>
      </c>
      <c r="O5" s="9" t="s">
        <v>322</v>
      </c>
      <c r="P5" s="9"/>
    </row>
    <row r="6" spans="1:20" x14ac:dyDescent="0.3">
      <c r="A6" t="s">
        <v>31</v>
      </c>
      <c r="B6" t="s">
        <v>20</v>
      </c>
      <c r="C6" t="s">
        <v>32</v>
      </c>
      <c r="D6" t="s">
        <v>33</v>
      </c>
      <c r="E6">
        <v>78421</v>
      </c>
      <c r="F6" s="3">
        <v>42043</v>
      </c>
      <c r="G6" t="s">
        <v>309</v>
      </c>
      <c r="H6">
        <v>2</v>
      </c>
      <c r="I6" t="s">
        <v>34</v>
      </c>
      <c r="J6" t="s">
        <v>35</v>
      </c>
      <c r="K6">
        <f ca="1">DATEDIF(Sheet1__2[[#This Row],[Date of Joining]],$S$6,"M")</f>
        <v>129</v>
      </c>
      <c r="R6" t="s">
        <v>323</v>
      </c>
      <c r="S6" s="3">
        <f ca="1">TODAY()</f>
        <v>45977</v>
      </c>
    </row>
    <row r="7" spans="1:20" x14ac:dyDescent="0.3">
      <c r="A7" t="s">
        <v>36</v>
      </c>
      <c r="B7" t="s">
        <v>37</v>
      </c>
      <c r="C7" t="s">
        <v>24</v>
      </c>
      <c r="D7" t="s">
        <v>33</v>
      </c>
      <c r="E7">
        <v>67721</v>
      </c>
      <c r="F7" s="3">
        <v>42050</v>
      </c>
      <c r="G7" t="s">
        <v>309</v>
      </c>
      <c r="H7">
        <v>0</v>
      </c>
      <c r="I7" t="s">
        <v>26</v>
      </c>
      <c r="J7" t="s">
        <v>27</v>
      </c>
      <c r="K7">
        <f ca="1">DATEDIF(Sheet1__2[[#This Row],[Date of Joining]],$S$6,"M")</f>
        <v>129</v>
      </c>
      <c r="O7" t="s">
        <v>311</v>
      </c>
      <c r="P7">
        <v>66918.158273381297</v>
      </c>
      <c r="R7" t="s">
        <v>324</v>
      </c>
      <c r="S7" s="10">
        <f ca="1">NOW()</f>
        <v>45977.81483865741</v>
      </c>
    </row>
    <row r="8" spans="1:20" x14ac:dyDescent="0.3">
      <c r="A8" t="s">
        <v>38</v>
      </c>
      <c r="B8" t="s">
        <v>39</v>
      </c>
      <c r="C8" t="s">
        <v>40</v>
      </c>
      <c r="D8" t="s">
        <v>33</v>
      </c>
      <c r="E8">
        <v>35364</v>
      </c>
      <c r="F8" s="3">
        <v>42057</v>
      </c>
      <c r="G8" t="s">
        <v>309</v>
      </c>
      <c r="H8">
        <v>2</v>
      </c>
      <c r="I8" t="s">
        <v>17</v>
      </c>
      <c r="J8" t="s">
        <v>41</v>
      </c>
      <c r="K8">
        <f ca="1">DATEDIF(Sheet1__2[[#This Row],[Date of Joining]],$S$6,"M")</f>
        <v>128</v>
      </c>
      <c r="O8" t="s">
        <v>312</v>
      </c>
      <c r="P8">
        <v>1813.8919676776457</v>
      </c>
      <c r="R8" t="s">
        <v>325</v>
      </c>
      <c r="S8">
        <f ca="1">YEAR(S6)</f>
        <v>2025</v>
      </c>
    </row>
    <row r="9" spans="1:20" x14ac:dyDescent="0.3">
      <c r="A9" t="s">
        <v>42</v>
      </c>
      <c r="B9" t="s">
        <v>20</v>
      </c>
      <c r="C9" t="s">
        <v>32</v>
      </c>
      <c r="D9" t="s">
        <v>16</v>
      </c>
      <c r="E9">
        <v>97881</v>
      </c>
      <c r="F9" s="3">
        <v>42064</v>
      </c>
      <c r="G9" t="s">
        <v>309</v>
      </c>
      <c r="H9">
        <v>0</v>
      </c>
      <c r="I9" t="s">
        <v>34</v>
      </c>
      <c r="J9" t="s">
        <v>43</v>
      </c>
      <c r="K9">
        <f ca="1">DATEDIF(Sheet1__2[[#This Row],[Date of Joining]],$S$6,"M")</f>
        <v>128</v>
      </c>
      <c r="O9" t="s">
        <v>313</v>
      </c>
      <c r="P9">
        <v>66882</v>
      </c>
      <c r="R9" t="s">
        <v>326</v>
      </c>
      <c r="S9">
        <f ca="1">MONTH(S6)</f>
        <v>11</v>
      </c>
    </row>
    <row r="10" spans="1:20" x14ac:dyDescent="0.3">
      <c r="A10" t="s">
        <v>44</v>
      </c>
      <c r="B10" t="s">
        <v>39</v>
      </c>
      <c r="C10" t="s">
        <v>15</v>
      </c>
      <c r="D10" t="s">
        <v>45</v>
      </c>
      <c r="E10">
        <v>91846</v>
      </c>
      <c r="F10" s="3">
        <v>42071</v>
      </c>
      <c r="G10" t="s">
        <v>309</v>
      </c>
      <c r="H10">
        <v>0</v>
      </c>
      <c r="I10" t="s">
        <v>26</v>
      </c>
      <c r="J10" t="s">
        <v>46</v>
      </c>
      <c r="K10">
        <f ca="1">DATEDIF(Sheet1__2[[#This Row],[Date of Joining]],$S$6,"M")</f>
        <v>128</v>
      </c>
      <c r="O10" t="s">
        <v>314</v>
      </c>
      <c r="P10" s="5" t="e">
        <v>#N/A</v>
      </c>
      <c r="R10" t="s">
        <v>327</v>
      </c>
      <c r="S10">
        <f ca="1">WEEKDAY(S6,2)</f>
        <v>7</v>
      </c>
    </row>
    <row r="11" spans="1:20" x14ac:dyDescent="0.3">
      <c r="A11" t="s">
        <v>47</v>
      </c>
      <c r="B11" t="s">
        <v>37</v>
      </c>
      <c r="C11" t="s">
        <v>9</v>
      </c>
      <c r="D11" t="s">
        <v>45</v>
      </c>
      <c r="E11">
        <v>64247</v>
      </c>
      <c r="F11" s="3">
        <v>42078</v>
      </c>
      <c r="G11" t="s">
        <v>309</v>
      </c>
      <c r="H11">
        <v>1</v>
      </c>
      <c r="I11" t="s">
        <v>34</v>
      </c>
      <c r="J11" t="s">
        <v>48</v>
      </c>
      <c r="K11">
        <f ca="1">DATEDIF(Sheet1__2[[#This Row],[Date of Joining]],$S$6,"M")</f>
        <v>128</v>
      </c>
      <c r="O11" t="s">
        <v>315</v>
      </c>
      <c r="P11">
        <v>21385.470904012422</v>
      </c>
      <c r="R11" t="s">
        <v>328</v>
      </c>
      <c r="S11">
        <f ca="1">DATEDIF(F:F,S6,"M")</f>
        <v>128</v>
      </c>
    </row>
    <row r="12" spans="1:20" x14ac:dyDescent="0.3">
      <c r="A12" t="s">
        <v>49</v>
      </c>
      <c r="B12" t="s">
        <v>37</v>
      </c>
      <c r="C12" t="s">
        <v>32</v>
      </c>
      <c r="D12" t="s">
        <v>25</v>
      </c>
      <c r="E12">
        <v>91180</v>
      </c>
      <c r="F12" s="3">
        <v>42085</v>
      </c>
      <c r="G12" t="s">
        <v>309</v>
      </c>
      <c r="H12">
        <v>5</v>
      </c>
      <c r="I12" t="s">
        <v>26</v>
      </c>
      <c r="J12" t="s">
        <v>50</v>
      </c>
      <c r="K12">
        <f ca="1">DATEDIF(Sheet1__2[[#This Row],[Date of Joining]],$S$6,"M")</f>
        <v>127</v>
      </c>
      <c r="O12" t="s">
        <v>316</v>
      </c>
      <c r="P12">
        <v>457338365.78636193</v>
      </c>
    </row>
    <row r="13" spans="1:20" x14ac:dyDescent="0.3">
      <c r="A13" t="s">
        <v>51</v>
      </c>
      <c r="B13" t="s">
        <v>52</v>
      </c>
      <c r="C13" t="s">
        <v>24</v>
      </c>
      <c r="D13" t="s">
        <v>33</v>
      </c>
      <c r="E13">
        <v>96418</v>
      </c>
      <c r="F13" s="3">
        <v>42092</v>
      </c>
      <c r="G13" t="s">
        <v>302</v>
      </c>
      <c r="H13">
        <v>5</v>
      </c>
      <c r="I13" t="s">
        <v>26</v>
      </c>
      <c r="J13" t="s">
        <v>18</v>
      </c>
      <c r="K13">
        <f ca="1">DATEDIF(Sheet1__2[[#This Row],[Date of Joining]],$S$6,"M")</f>
        <v>127</v>
      </c>
      <c r="O13" t="s">
        <v>317</v>
      </c>
      <c r="P13">
        <v>-1.2668430323369797</v>
      </c>
    </row>
    <row r="14" spans="1:20" x14ac:dyDescent="0.3">
      <c r="A14" t="s">
        <v>53</v>
      </c>
      <c r="B14" t="s">
        <v>37</v>
      </c>
      <c r="C14" t="s">
        <v>11</v>
      </c>
      <c r="D14" t="s">
        <v>33</v>
      </c>
      <c r="E14">
        <v>62158</v>
      </c>
      <c r="F14" s="3">
        <v>42099</v>
      </c>
      <c r="G14" t="s">
        <v>302</v>
      </c>
      <c r="H14">
        <v>4</v>
      </c>
      <c r="I14" t="s">
        <v>11</v>
      </c>
      <c r="J14" t="s">
        <v>54</v>
      </c>
      <c r="K14">
        <f ca="1">DATEDIF(Sheet1__2[[#This Row],[Date of Joining]],$S$6,"M")</f>
        <v>127</v>
      </c>
      <c r="O14" t="s">
        <v>318</v>
      </c>
      <c r="P14">
        <v>-0.14560020585388062</v>
      </c>
    </row>
    <row r="15" spans="1:20" x14ac:dyDescent="0.3">
      <c r="A15" t="s">
        <v>55</v>
      </c>
      <c r="B15" t="s">
        <v>29</v>
      </c>
      <c r="C15" t="s">
        <v>15</v>
      </c>
      <c r="D15" t="s">
        <v>33</v>
      </c>
      <c r="E15">
        <v>59894</v>
      </c>
      <c r="F15" s="3">
        <v>42106</v>
      </c>
      <c r="G15" t="s">
        <v>302</v>
      </c>
      <c r="H15">
        <v>2</v>
      </c>
      <c r="I15" t="s">
        <v>26</v>
      </c>
      <c r="J15" t="s">
        <v>56</v>
      </c>
      <c r="K15">
        <f ca="1">DATEDIF(Sheet1__2[[#This Row],[Date of Joining]],$S$6,"M")</f>
        <v>127</v>
      </c>
      <c r="O15" t="s">
        <v>319</v>
      </c>
      <c r="P15">
        <v>69341</v>
      </c>
    </row>
    <row r="16" spans="1:20" x14ac:dyDescent="0.3">
      <c r="A16" t="s">
        <v>57</v>
      </c>
      <c r="B16" t="s">
        <v>310</v>
      </c>
      <c r="C16" t="s">
        <v>32</v>
      </c>
      <c r="D16" t="s">
        <v>33</v>
      </c>
      <c r="E16">
        <v>92443</v>
      </c>
      <c r="F16" s="3">
        <v>42113</v>
      </c>
      <c r="G16" t="s">
        <v>309</v>
      </c>
      <c r="H16">
        <v>3</v>
      </c>
      <c r="I16" t="s">
        <v>17</v>
      </c>
      <c r="J16" t="s">
        <v>58</v>
      </c>
      <c r="K16">
        <f ca="1">DATEDIF(Sheet1__2[[#This Row],[Date of Joining]],$S$6,"M")</f>
        <v>126</v>
      </c>
      <c r="O16" t="s">
        <v>320</v>
      </c>
      <c r="P16">
        <v>30280</v>
      </c>
      <c r="R16" t="s">
        <v>337</v>
      </c>
      <c r="S16" t="s">
        <v>338</v>
      </c>
      <c r="T16" t="s">
        <v>339</v>
      </c>
    </row>
    <row r="17" spans="1:20" x14ac:dyDescent="0.3">
      <c r="A17" t="s">
        <v>59</v>
      </c>
      <c r="B17" t="s">
        <v>52</v>
      </c>
      <c r="C17" t="s">
        <v>11</v>
      </c>
      <c r="D17" t="s">
        <v>16</v>
      </c>
      <c r="E17">
        <v>90271</v>
      </c>
      <c r="F17" s="3">
        <v>42120</v>
      </c>
      <c r="G17" t="s">
        <v>309</v>
      </c>
      <c r="H17">
        <v>0</v>
      </c>
      <c r="I17" t="s">
        <v>11</v>
      </c>
      <c r="J17" t="s">
        <v>60</v>
      </c>
      <c r="K17">
        <f ca="1">DATEDIF(Sheet1__2[[#This Row],[Date of Joining]],$S$6,"M")</f>
        <v>126</v>
      </c>
      <c r="O17" t="s">
        <v>321</v>
      </c>
      <c r="P17">
        <v>99621</v>
      </c>
      <c r="R17" t="s">
        <v>336</v>
      </c>
      <c r="S17" t="s">
        <v>331</v>
      </c>
      <c r="T17" t="str">
        <f>VLOOKUP(A19,Sheet1__2[[Employee ID]:[Country]],4,FALSE)</f>
        <v>UK</v>
      </c>
    </row>
    <row r="18" spans="1:20" x14ac:dyDescent="0.3">
      <c r="A18" t="s">
        <v>61</v>
      </c>
      <c r="B18" t="s">
        <v>29</v>
      </c>
      <c r="C18" t="s">
        <v>9</v>
      </c>
      <c r="D18" t="s">
        <v>62</v>
      </c>
      <c r="E18">
        <v>41341</v>
      </c>
      <c r="F18" s="3">
        <v>42127</v>
      </c>
      <c r="G18" t="s">
        <v>309</v>
      </c>
      <c r="H18">
        <v>1</v>
      </c>
      <c r="I18" t="s">
        <v>17</v>
      </c>
      <c r="J18" t="s">
        <v>63</v>
      </c>
      <c r="K18">
        <f ca="1">DATEDIF(Sheet1__2[[#This Row],[Date of Joining]],$S$6,"M")</f>
        <v>126</v>
      </c>
      <c r="O18" t="s">
        <v>294</v>
      </c>
      <c r="P18">
        <v>9301624</v>
      </c>
    </row>
    <row r="19" spans="1:20" ht="15" thickBot="1" x14ac:dyDescent="0.35">
      <c r="A19" t="s">
        <v>64</v>
      </c>
      <c r="B19" t="s">
        <v>20</v>
      </c>
      <c r="C19" t="s">
        <v>9</v>
      </c>
      <c r="D19" t="s">
        <v>45</v>
      </c>
      <c r="E19">
        <v>73602</v>
      </c>
      <c r="F19" s="3">
        <v>42134</v>
      </c>
      <c r="G19" t="s">
        <v>309</v>
      </c>
      <c r="H19">
        <v>0</v>
      </c>
      <c r="I19" t="s">
        <v>11</v>
      </c>
      <c r="J19" t="s">
        <v>65</v>
      </c>
      <c r="K19">
        <f ca="1">DATEDIF(Sheet1__2[[#This Row],[Date of Joining]],$S$6,"M")</f>
        <v>126</v>
      </c>
      <c r="O19" s="8" t="s">
        <v>295</v>
      </c>
      <c r="P19" s="8">
        <v>139</v>
      </c>
    </row>
    <row r="20" spans="1:20" x14ac:dyDescent="0.3">
      <c r="A20" t="s">
        <v>66</v>
      </c>
      <c r="B20" t="s">
        <v>14</v>
      </c>
      <c r="C20" t="s">
        <v>11</v>
      </c>
      <c r="D20" t="s">
        <v>33</v>
      </c>
      <c r="E20">
        <v>67531</v>
      </c>
      <c r="F20" s="3">
        <v>42141</v>
      </c>
      <c r="G20" t="s">
        <v>309</v>
      </c>
      <c r="H20">
        <v>5</v>
      </c>
      <c r="I20" t="s">
        <v>34</v>
      </c>
      <c r="J20" t="s">
        <v>67</v>
      </c>
      <c r="K20">
        <f ca="1">DATEDIF(Sheet1__2[[#This Row],[Date of Joining]],$S$6,"M")</f>
        <v>125</v>
      </c>
    </row>
    <row r="21" spans="1:20" x14ac:dyDescent="0.3">
      <c r="A21" t="s">
        <v>70</v>
      </c>
      <c r="B21" t="s">
        <v>29</v>
      </c>
      <c r="C21" t="s">
        <v>15</v>
      </c>
      <c r="D21" t="s">
        <v>33</v>
      </c>
      <c r="E21">
        <v>98922</v>
      </c>
      <c r="F21" s="3">
        <v>42155</v>
      </c>
      <c r="G21" t="s">
        <v>309</v>
      </c>
      <c r="H21">
        <v>4</v>
      </c>
      <c r="I21" t="s">
        <v>11</v>
      </c>
      <c r="J21" t="s">
        <v>71</v>
      </c>
      <c r="K21">
        <f ca="1">DATEDIF(Sheet1__2[[#This Row],[Date of Joining]],$S$6,"M")</f>
        <v>125</v>
      </c>
    </row>
    <row r="22" spans="1:20" x14ac:dyDescent="0.3">
      <c r="A22" t="s">
        <v>72</v>
      </c>
      <c r="B22" t="s">
        <v>14</v>
      </c>
      <c r="C22" t="s">
        <v>9</v>
      </c>
      <c r="D22" t="s">
        <v>33</v>
      </c>
      <c r="E22">
        <v>38333</v>
      </c>
      <c r="F22" s="3">
        <v>42162</v>
      </c>
      <c r="G22" t="s">
        <v>302</v>
      </c>
      <c r="H22">
        <v>5</v>
      </c>
      <c r="I22" t="s">
        <v>11</v>
      </c>
      <c r="J22" t="s">
        <v>73</v>
      </c>
      <c r="K22">
        <f ca="1">DATEDIF(Sheet1__2[[#This Row],[Date of Joining]],$S$6,"M")</f>
        <v>125</v>
      </c>
      <c r="O22" t="s">
        <v>332</v>
      </c>
      <c r="P22" t="s">
        <v>335</v>
      </c>
      <c r="Q22" t="s">
        <v>333</v>
      </c>
      <c r="R22" t="s">
        <v>334</v>
      </c>
    </row>
    <row r="23" spans="1:20" x14ac:dyDescent="0.3">
      <c r="A23" t="s">
        <v>74</v>
      </c>
      <c r="B23" t="s">
        <v>20</v>
      </c>
      <c r="C23" t="s">
        <v>40</v>
      </c>
      <c r="D23" t="s">
        <v>45</v>
      </c>
      <c r="E23">
        <v>36515</v>
      </c>
      <c r="F23" s="3">
        <v>42169</v>
      </c>
      <c r="G23" t="s">
        <v>302</v>
      </c>
      <c r="H23">
        <v>3</v>
      </c>
      <c r="I23" t="s">
        <v>26</v>
      </c>
      <c r="J23" t="s">
        <v>75</v>
      </c>
      <c r="K23">
        <f ca="1">DATEDIF(Sheet1__2[[#This Row],[Date of Joining]],$S$6,"M")</f>
        <v>125</v>
      </c>
      <c r="O23" t="s">
        <v>82</v>
      </c>
      <c r="P23" t="str" cm="1">
        <f t="array" ref="P23">_xlfn.XLOOKUP(O23,Sheet1__2[Employee ID],$C$2:$C$140,"NOT FOUND")</f>
        <v>IT</v>
      </c>
      <c r="Q23">
        <f>MATCH(O23,Sheet1__2[Employee ID],0)</f>
        <v>26</v>
      </c>
      <c r="R23" t="str" cm="1">
        <f t="array" ref="R23">INDEX(Sheet1__2[Country],Q23)</f>
        <v>UK</v>
      </c>
    </row>
    <row r="24" spans="1:20" x14ac:dyDescent="0.3">
      <c r="A24" t="s">
        <v>76</v>
      </c>
      <c r="B24" t="s">
        <v>37</v>
      </c>
      <c r="C24" t="s">
        <v>9</v>
      </c>
      <c r="D24" t="s">
        <v>33</v>
      </c>
      <c r="E24">
        <v>91005</v>
      </c>
      <c r="F24" s="3">
        <v>42176</v>
      </c>
      <c r="G24" t="s">
        <v>309</v>
      </c>
      <c r="H24">
        <v>1</v>
      </c>
      <c r="I24" t="s">
        <v>17</v>
      </c>
      <c r="J24" t="s">
        <v>77</v>
      </c>
      <c r="K24">
        <f ca="1">DATEDIF(Sheet1__2[[#This Row],[Date of Joining]],$S$6,"M")</f>
        <v>124</v>
      </c>
      <c r="O24" t="s">
        <v>90</v>
      </c>
      <c r="P24" t="str" cm="1">
        <f t="array" ref="P24">_xlfn.XLOOKUP(O24,Sheet1__2[Employee ID],$C$2:$C$140,"NOT FOUND")</f>
        <v>HR</v>
      </c>
      <c r="Q24">
        <f>MATCH(O24,Sheet1__2[Employee ID],0)</f>
        <v>30</v>
      </c>
      <c r="R24" t="str" cm="1">
        <f t="array" ref="R24">INDEX(Sheet1__2[Country],Q24)</f>
        <v>Germany</v>
      </c>
    </row>
    <row r="25" spans="1:20" x14ac:dyDescent="0.3">
      <c r="A25" t="s">
        <v>78</v>
      </c>
      <c r="B25" t="s">
        <v>39</v>
      </c>
      <c r="C25" t="s">
        <v>11</v>
      </c>
      <c r="D25" t="s">
        <v>33</v>
      </c>
      <c r="E25">
        <v>52272</v>
      </c>
      <c r="F25" s="3">
        <v>42183</v>
      </c>
      <c r="G25" t="s">
        <v>309</v>
      </c>
      <c r="H25">
        <v>3</v>
      </c>
      <c r="I25" t="s">
        <v>11</v>
      </c>
      <c r="J25" t="s">
        <v>79</v>
      </c>
      <c r="K25">
        <f ca="1">DATEDIF(Sheet1__2[[#This Row],[Date of Joining]],$S$6,"M")</f>
        <v>124</v>
      </c>
      <c r="O25" t="s">
        <v>92</v>
      </c>
      <c r="P25" t="str" cm="1">
        <f t="array" ref="P25">_xlfn.XLOOKUP(O25,Sheet1__2[Employee ID],$C$2:$C$140,"NOT FOUND")</f>
        <v>HR</v>
      </c>
      <c r="Q25">
        <f>MATCH(O25,Sheet1__2[Employee ID],0)</f>
        <v>31</v>
      </c>
      <c r="R25" t="str" cm="1">
        <f t="array" ref="R25">INDEX(Sheet1__2[Country],Q25)</f>
        <v>India</v>
      </c>
    </row>
    <row r="26" spans="1:20" x14ac:dyDescent="0.3">
      <c r="A26" t="s">
        <v>80</v>
      </c>
      <c r="B26" t="s">
        <v>14</v>
      </c>
      <c r="C26" t="s">
        <v>24</v>
      </c>
      <c r="D26" t="s">
        <v>16</v>
      </c>
      <c r="E26">
        <v>76518</v>
      </c>
      <c r="F26" s="3">
        <v>42190</v>
      </c>
      <c r="G26" t="s">
        <v>309</v>
      </c>
      <c r="H26">
        <v>2</v>
      </c>
      <c r="I26" t="s">
        <v>34</v>
      </c>
      <c r="J26" t="s">
        <v>81</v>
      </c>
      <c r="K26">
        <f ca="1">DATEDIF(Sheet1__2[[#This Row],[Date of Joining]],$S$6,"M")</f>
        <v>124</v>
      </c>
      <c r="O26" t="s">
        <v>99</v>
      </c>
      <c r="P26" t="str" cm="1">
        <f t="array" ref="P26">_xlfn.XLOOKUP(O26,Sheet1__2[Employee ID],$C$2:$C$140,"NOT FOUND")</f>
        <v>IT</v>
      </c>
      <c r="Q26">
        <f>MATCH(O26,Sheet1__2[Employee ID],0)</f>
        <v>35</v>
      </c>
      <c r="R26" t="str" cm="1">
        <f t="array" ref="R26">INDEX(Sheet1__2[Country],Q26)</f>
        <v>USA</v>
      </c>
    </row>
    <row r="27" spans="1:20" x14ac:dyDescent="0.3">
      <c r="A27" t="s">
        <v>82</v>
      </c>
      <c r="B27" t="s">
        <v>20</v>
      </c>
      <c r="C27" t="s">
        <v>32</v>
      </c>
      <c r="D27" t="s">
        <v>45</v>
      </c>
      <c r="E27">
        <v>41448</v>
      </c>
      <c r="F27" s="3">
        <v>42197</v>
      </c>
      <c r="G27" t="s">
        <v>309</v>
      </c>
      <c r="H27">
        <v>3</v>
      </c>
      <c r="I27" t="s">
        <v>17</v>
      </c>
      <c r="J27" t="s">
        <v>83</v>
      </c>
      <c r="K27">
        <f ca="1">DATEDIF(Sheet1__2[[#This Row],[Date of Joining]],$S$6,"M")</f>
        <v>124</v>
      </c>
      <c r="O27" t="s">
        <v>109</v>
      </c>
      <c r="P27" t="str" cm="1">
        <f t="array" ref="P27">_xlfn.XLOOKUP(O27,Sheet1__2[Employee ID],$C$2:$C$140,"NOT FOUND")</f>
        <v>IT</v>
      </c>
      <c r="Q27">
        <f>MATCH(O27,Sheet1__2[Employee ID],0)</f>
        <v>39</v>
      </c>
      <c r="R27" t="str" cm="1">
        <f t="array" ref="R27">INDEX(Sheet1__2[Country],Q27)</f>
        <v>Germany</v>
      </c>
    </row>
    <row r="28" spans="1:20" x14ac:dyDescent="0.3">
      <c r="A28" t="s">
        <v>84</v>
      </c>
      <c r="B28" t="s">
        <v>23</v>
      </c>
      <c r="C28" t="s">
        <v>15</v>
      </c>
      <c r="D28" t="s">
        <v>45</v>
      </c>
      <c r="E28">
        <v>49282</v>
      </c>
      <c r="F28" s="3">
        <v>42204</v>
      </c>
      <c r="G28" t="s">
        <v>309</v>
      </c>
      <c r="H28">
        <v>2</v>
      </c>
      <c r="I28" t="s">
        <v>34</v>
      </c>
      <c r="J28" t="s">
        <v>85</v>
      </c>
      <c r="K28">
        <f ca="1">DATEDIF(Sheet1__2[[#This Row],[Date of Joining]],$S$6,"M")</f>
        <v>123</v>
      </c>
      <c r="O28" t="s">
        <v>115</v>
      </c>
      <c r="P28" t="str" cm="1">
        <f t="array" ref="P28">_xlfn.XLOOKUP(O28,Sheet1__2[Employee ID],$C$2:$C$140,"NOT FOUND")</f>
        <v>Finance</v>
      </c>
      <c r="Q28">
        <f>MATCH(O28,Sheet1__2[Employee ID],0)</f>
        <v>42</v>
      </c>
      <c r="R28" t="str" cm="1">
        <f t="array" ref="R28">INDEX(Sheet1__2[Country],Q28)</f>
        <v>India</v>
      </c>
    </row>
    <row r="29" spans="1:20" x14ac:dyDescent="0.3">
      <c r="A29" t="s">
        <v>86</v>
      </c>
      <c r="B29" t="s">
        <v>52</v>
      </c>
      <c r="C29" t="s">
        <v>40</v>
      </c>
      <c r="D29" t="s">
        <v>45</v>
      </c>
      <c r="E29">
        <v>92959</v>
      </c>
      <c r="F29" s="3">
        <v>42211</v>
      </c>
      <c r="G29" t="s">
        <v>309</v>
      </c>
      <c r="H29">
        <v>5</v>
      </c>
      <c r="I29" t="s">
        <v>11</v>
      </c>
      <c r="J29" t="s">
        <v>87</v>
      </c>
      <c r="K29">
        <f ca="1">DATEDIF(Sheet1__2[[#This Row],[Date of Joining]],$S$6,"M")</f>
        <v>123</v>
      </c>
    </row>
    <row r="30" spans="1:20" x14ac:dyDescent="0.3">
      <c r="A30" t="s">
        <v>88</v>
      </c>
      <c r="B30" t="s">
        <v>310</v>
      </c>
      <c r="C30" t="s">
        <v>40</v>
      </c>
      <c r="D30" t="s">
        <v>33</v>
      </c>
      <c r="E30">
        <v>92259</v>
      </c>
      <c r="F30" s="3" t="s">
        <v>346</v>
      </c>
      <c r="G30" t="s">
        <v>302</v>
      </c>
      <c r="H30">
        <v>1</v>
      </c>
      <c r="I30" t="s">
        <v>11</v>
      </c>
      <c r="J30" t="s">
        <v>89</v>
      </c>
    </row>
    <row r="31" spans="1:20" x14ac:dyDescent="0.3">
      <c r="A31" t="s">
        <v>90</v>
      </c>
      <c r="B31" t="s">
        <v>14</v>
      </c>
      <c r="C31" t="s">
        <v>15</v>
      </c>
      <c r="D31" t="s">
        <v>16</v>
      </c>
      <c r="E31">
        <v>92299</v>
      </c>
      <c r="F31" s="3">
        <v>42225</v>
      </c>
      <c r="G31" t="s">
        <v>309</v>
      </c>
      <c r="H31">
        <v>3</v>
      </c>
      <c r="I31" t="s">
        <v>26</v>
      </c>
      <c r="J31" t="s">
        <v>91</v>
      </c>
      <c r="K31">
        <f ca="1">DATEDIF(Sheet1__2[[#This Row],[Date of Joining]],$S$6,"M")</f>
        <v>123</v>
      </c>
    </row>
    <row r="32" spans="1:20" x14ac:dyDescent="0.3">
      <c r="A32" t="s">
        <v>92</v>
      </c>
      <c r="B32" t="s">
        <v>37</v>
      </c>
      <c r="C32" t="s">
        <v>15</v>
      </c>
      <c r="D32" t="s">
        <v>33</v>
      </c>
      <c r="E32">
        <v>95586</v>
      </c>
      <c r="F32" s="3">
        <v>42232</v>
      </c>
      <c r="G32" t="s">
        <v>309</v>
      </c>
      <c r="H32">
        <v>3</v>
      </c>
      <c r="I32" t="s">
        <v>17</v>
      </c>
      <c r="J32" t="s">
        <v>93</v>
      </c>
      <c r="K32">
        <f ca="1">DATEDIF(Sheet1__2[[#This Row],[Date of Joining]],$S$6,"M")</f>
        <v>123</v>
      </c>
    </row>
    <row r="33" spans="1:11" x14ac:dyDescent="0.3">
      <c r="A33" t="s">
        <v>94</v>
      </c>
      <c r="B33" t="s">
        <v>39</v>
      </c>
      <c r="C33" t="s">
        <v>11</v>
      </c>
      <c r="D33" t="s">
        <v>25</v>
      </c>
      <c r="E33">
        <v>95367</v>
      </c>
      <c r="F33" s="3">
        <v>42239</v>
      </c>
      <c r="G33" t="s">
        <v>309</v>
      </c>
      <c r="H33">
        <v>0</v>
      </c>
      <c r="I33" t="s">
        <v>26</v>
      </c>
      <c r="J33" t="s">
        <v>95</v>
      </c>
      <c r="K33">
        <f ca="1">DATEDIF(Sheet1__2[[#This Row],[Date of Joining]],$S$6,"M")</f>
        <v>122</v>
      </c>
    </row>
    <row r="34" spans="1:11" x14ac:dyDescent="0.3">
      <c r="A34" t="s">
        <v>96</v>
      </c>
      <c r="B34" t="s">
        <v>23</v>
      </c>
      <c r="C34" t="s">
        <v>24</v>
      </c>
      <c r="D34" t="s">
        <v>62</v>
      </c>
      <c r="E34">
        <v>79549</v>
      </c>
      <c r="F34" s="3">
        <v>42246</v>
      </c>
      <c r="G34" t="s">
        <v>309</v>
      </c>
      <c r="H34">
        <v>3</v>
      </c>
      <c r="I34" t="s">
        <v>11</v>
      </c>
      <c r="J34" t="s">
        <v>97</v>
      </c>
      <c r="K34">
        <f ca="1">DATEDIF(Sheet1__2[[#This Row],[Date of Joining]],$S$6,"M")</f>
        <v>122</v>
      </c>
    </row>
    <row r="35" spans="1:11" x14ac:dyDescent="0.3">
      <c r="A35" t="s">
        <v>98</v>
      </c>
      <c r="B35" t="s">
        <v>20</v>
      </c>
      <c r="C35" t="s">
        <v>11</v>
      </c>
      <c r="D35" t="s">
        <v>45</v>
      </c>
      <c r="E35">
        <v>54463</v>
      </c>
      <c r="F35" s="3">
        <v>42253</v>
      </c>
      <c r="G35" t="s">
        <v>309</v>
      </c>
      <c r="H35">
        <v>4</v>
      </c>
      <c r="I35" t="s">
        <v>26</v>
      </c>
      <c r="J35" t="s">
        <v>12</v>
      </c>
      <c r="K35">
        <f ca="1">DATEDIF(Sheet1__2[[#This Row],[Date of Joining]],$S$6,"M")</f>
        <v>122</v>
      </c>
    </row>
    <row r="36" spans="1:11" x14ac:dyDescent="0.3">
      <c r="A36" t="s">
        <v>99</v>
      </c>
      <c r="B36" t="s">
        <v>20</v>
      </c>
      <c r="C36" t="s">
        <v>32</v>
      </c>
      <c r="D36" t="s">
        <v>25</v>
      </c>
      <c r="E36">
        <v>89781</v>
      </c>
      <c r="F36" s="3">
        <v>42260</v>
      </c>
      <c r="G36" t="s">
        <v>302</v>
      </c>
      <c r="H36">
        <v>0</v>
      </c>
      <c r="I36" t="s">
        <v>34</v>
      </c>
      <c r="J36" t="s">
        <v>100</v>
      </c>
      <c r="K36">
        <f ca="1">DATEDIF(Sheet1__2[[#This Row],[Date of Joining]],$S$6,"M")</f>
        <v>122</v>
      </c>
    </row>
    <row r="37" spans="1:11" x14ac:dyDescent="0.3">
      <c r="A37" t="s">
        <v>101</v>
      </c>
      <c r="B37" t="s">
        <v>20</v>
      </c>
      <c r="C37" t="s">
        <v>15</v>
      </c>
      <c r="D37" t="s">
        <v>33</v>
      </c>
      <c r="E37">
        <v>64796</v>
      </c>
      <c r="F37" s="3">
        <v>42267</v>
      </c>
      <c r="G37" t="s">
        <v>309</v>
      </c>
      <c r="H37">
        <v>0</v>
      </c>
      <c r="I37" t="s">
        <v>17</v>
      </c>
      <c r="J37" t="s">
        <v>102</v>
      </c>
      <c r="K37">
        <f ca="1">DATEDIF(Sheet1__2[[#This Row],[Date of Joining]],$S$6,"M")</f>
        <v>121</v>
      </c>
    </row>
    <row r="38" spans="1:11" x14ac:dyDescent="0.3">
      <c r="A38" t="s">
        <v>103</v>
      </c>
      <c r="B38" t="s">
        <v>23</v>
      </c>
      <c r="C38" t="s">
        <v>40</v>
      </c>
      <c r="D38" t="s">
        <v>45</v>
      </c>
      <c r="E38">
        <v>52093</v>
      </c>
      <c r="F38" s="3">
        <v>42274</v>
      </c>
      <c r="G38" t="s">
        <v>309</v>
      </c>
      <c r="H38">
        <v>5</v>
      </c>
      <c r="I38" t="s">
        <v>11</v>
      </c>
      <c r="J38" t="s">
        <v>104</v>
      </c>
      <c r="K38">
        <f ca="1">DATEDIF(Sheet1__2[[#This Row],[Date of Joining]],$S$6,"M")</f>
        <v>121</v>
      </c>
    </row>
    <row r="39" spans="1:11" x14ac:dyDescent="0.3">
      <c r="A39" t="s">
        <v>105</v>
      </c>
      <c r="B39" t="s">
        <v>39</v>
      </c>
      <c r="C39" t="s">
        <v>15</v>
      </c>
      <c r="D39" t="s">
        <v>45</v>
      </c>
      <c r="E39">
        <v>48224</v>
      </c>
      <c r="F39" s="3">
        <v>42281</v>
      </c>
      <c r="G39" t="s">
        <v>302</v>
      </c>
      <c r="H39">
        <v>3</v>
      </c>
      <c r="I39" t="s">
        <v>11</v>
      </c>
      <c r="J39" t="s">
        <v>106</v>
      </c>
      <c r="K39">
        <f ca="1">DATEDIF(Sheet1__2[[#This Row],[Date of Joining]],$S$6,"M")</f>
        <v>121</v>
      </c>
    </row>
    <row r="40" spans="1:11" x14ac:dyDescent="0.3">
      <c r="A40" t="s">
        <v>109</v>
      </c>
      <c r="B40" t="s">
        <v>20</v>
      </c>
      <c r="C40" t="s">
        <v>32</v>
      </c>
      <c r="D40" t="s">
        <v>16</v>
      </c>
      <c r="E40">
        <v>33956</v>
      </c>
      <c r="F40" s="3">
        <v>42295</v>
      </c>
      <c r="G40" t="s">
        <v>302</v>
      </c>
      <c r="H40">
        <v>0</v>
      </c>
      <c r="I40" t="s">
        <v>11</v>
      </c>
      <c r="J40" t="s">
        <v>110</v>
      </c>
      <c r="K40">
        <f ca="1">DATEDIF(Sheet1__2[[#This Row],[Date of Joining]],$S$6,"M")</f>
        <v>120</v>
      </c>
    </row>
    <row r="41" spans="1:11" x14ac:dyDescent="0.3">
      <c r="A41" t="s">
        <v>111</v>
      </c>
      <c r="B41" t="s">
        <v>52</v>
      </c>
      <c r="C41" t="s">
        <v>11</v>
      </c>
      <c r="D41" t="s">
        <v>62</v>
      </c>
      <c r="E41">
        <v>64913</v>
      </c>
      <c r="F41" s="3">
        <v>42302</v>
      </c>
      <c r="G41" t="s">
        <v>309</v>
      </c>
      <c r="H41">
        <v>1</v>
      </c>
      <c r="I41" t="s">
        <v>34</v>
      </c>
      <c r="J41" t="s">
        <v>112</v>
      </c>
      <c r="K41">
        <f ca="1">DATEDIF(Sheet1__2[[#This Row],[Date of Joining]],$S$6,"M")</f>
        <v>120</v>
      </c>
    </row>
    <row r="42" spans="1:11" x14ac:dyDescent="0.3">
      <c r="A42" t="s">
        <v>113</v>
      </c>
      <c r="B42" t="s">
        <v>20</v>
      </c>
      <c r="C42" t="s">
        <v>40</v>
      </c>
      <c r="D42" t="s">
        <v>62</v>
      </c>
      <c r="E42">
        <v>35326</v>
      </c>
      <c r="F42" s="3">
        <v>42309</v>
      </c>
      <c r="G42" t="s">
        <v>309</v>
      </c>
      <c r="H42">
        <v>0</v>
      </c>
      <c r="I42" t="s">
        <v>34</v>
      </c>
      <c r="J42" t="s">
        <v>114</v>
      </c>
      <c r="K42">
        <f ca="1">DATEDIF(Sheet1__2[[#This Row],[Date of Joining]],$S$6,"M")</f>
        <v>120</v>
      </c>
    </row>
    <row r="43" spans="1:11" x14ac:dyDescent="0.3">
      <c r="A43" t="s">
        <v>115</v>
      </c>
      <c r="B43" t="s">
        <v>39</v>
      </c>
      <c r="C43" t="s">
        <v>9</v>
      </c>
      <c r="D43" t="s">
        <v>33</v>
      </c>
      <c r="E43">
        <v>81610</v>
      </c>
      <c r="F43" s="3">
        <v>42316</v>
      </c>
      <c r="G43" t="s">
        <v>309</v>
      </c>
      <c r="H43">
        <v>1</v>
      </c>
      <c r="I43" t="s">
        <v>11</v>
      </c>
      <c r="J43" t="s">
        <v>116</v>
      </c>
      <c r="K43">
        <f ca="1">DATEDIF(Sheet1__2[[#This Row],[Date of Joining]],$S$6,"M")</f>
        <v>120</v>
      </c>
    </row>
    <row r="44" spans="1:11" x14ac:dyDescent="0.3">
      <c r="A44" t="s">
        <v>117</v>
      </c>
      <c r="B44" t="s">
        <v>310</v>
      </c>
      <c r="C44" t="s">
        <v>15</v>
      </c>
      <c r="D44" t="s">
        <v>33</v>
      </c>
      <c r="E44">
        <v>58962</v>
      </c>
      <c r="F44" s="3">
        <v>42323</v>
      </c>
      <c r="G44" t="s">
        <v>309</v>
      </c>
      <c r="H44">
        <v>3</v>
      </c>
      <c r="I44" t="s">
        <v>17</v>
      </c>
      <c r="J44" t="s">
        <v>18</v>
      </c>
      <c r="K44">
        <f ca="1">DATEDIF(Sheet1__2[[#This Row],[Date of Joining]],$S$6,"M")</f>
        <v>120</v>
      </c>
    </row>
    <row r="45" spans="1:11" x14ac:dyDescent="0.3">
      <c r="A45" t="s">
        <v>118</v>
      </c>
      <c r="B45" t="s">
        <v>39</v>
      </c>
      <c r="C45" t="s">
        <v>32</v>
      </c>
      <c r="D45" t="s">
        <v>16</v>
      </c>
      <c r="E45">
        <v>92701</v>
      </c>
      <c r="F45" s="3">
        <v>42330</v>
      </c>
      <c r="G45" t="s">
        <v>309</v>
      </c>
      <c r="H45">
        <v>3</v>
      </c>
      <c r="I45" t="s">
        <v>17</v>
      </c>
      <c r="J45" t="s">
        <v>119</v>
      </c>
      <c r="K45">
        <f ca="1">DATEDIF(Sheet1__2[[#This Row],[Date of Joining]],$S$6,"M")</f>
        <v>119</v>
      </c>
    </row>
    <row r="46" spans="1:11" x14ac:dyDescent="0.3">
      <c r="A46" t="s">
        <v>120</v>
      </c>
      <c r="B46" t="s">
        <v>39</v>
      </c>
      <c r="C46" t="s">
        <v>15</v>
      </c>
      <c r="D46" t="s">
        <v>33</v>
      </c>
      <c r="E46">
        <v>58245</v>
      </c>
      <c r="F46" s="3">
        <v>42337</v>
      </c>
      <c r="G46" t="s">
        <v>309</v>
      </c>
      <c r="H46">
        <v>4</v>
      </c>
      <c r="I46" t="s">
        <v>11</v>
      </c>
      <c r="J46" t="s">
        <v>121</v>
      </c>
      <c r="K46">
        <f ca="1">DATEDIF(Sheet1__2[[#This Row],[Date of Joining]],$S$6,"M")</f>
        <v>119</v>
      </c>
    </row>
    <row r="47" spans="1:11" x14ac:dyDescent="0.3">
      <c r="A47" t="s">
        <v>122</v>
      </c>
      <c r="B47" t="s">
        <v>23</v>
      </c>
      <c r="C47" t="s">
        <v>9</v>
      </c>
      <c r="D47" t="s">
        <v>33</v>
      </c>
      <c r="E47">
        <v>66513</v>
      </c>
      <c r="F47" s="3">
        <v>42344</v>
      </c>
      <c r="G47" t="s">
        <v>302</v>
      </c>
      <c r="H47">
        <v>2</v>
      </c>
      <c r="I47" t="s">
        <v>17</v>
      </c>
      <c r="J47" t="s">
        <v>35</v>
      </c>
      <c r="K47">
        <f ca="1">DATEDIF(Sheet1__2[[#This Row],[Date of Joining]],$S$6,"M")</f>
        <v>119</v>
      </c>
    </row>
    <row r="48" spans="1:11" x14ac:dyDescent="0.3">
      <c r="A48" t="s">
        <v>123</v>
      </c>
      <c r="B48" t="s">
        <v>14</v>
      </c>
      <c r="C48" t="s">
        <v>15</v>
      </c>
      <c r="D48" t="s">
        <v>16</v>
      </c>
      <c r="E48">
        <v>78720</v>
      </c>
      <c r="F48" s="3">
        <v>42351</v>
      </c>
      <c r="G48" t="s">
        <v>309</v>
      </c>
      <c r="H48">
        <v>5</v>
      </c>
      <c r="I48" t="s">
        <v>34</v>
      </c>
      <c r="J48" t="s">
        <v>108</v>
      </c>
      <c r="K48">
        <f ca="1">DATEDIF(Sheet1__2[[#This Row],[Date of Joining]],$S$6,"M")</f>
        <v>119</v>
      </c>
    </row>
    <row r="49" spans="1:11" x14ac:dyDescent="0.3">
      <c r="A49" t="s">
        <v>126</v>
      </c>
      <c r="B49" t="s">
        <v>37</v>
      </c>
      <c r="C49" t="s">
        <v>24</v>
      </c>
      <c r="D49" t="s">
        <v>33</v>
      </c>
      <c r="E49">
        <v>39423</v>
      </c>
      <c r="F49" s="3">
        <v>42365</v>
      </c>
      <c r="G49" t="s">
        <v>309</v>
      </c>
      <c r="H49">
        <v>5</v>
      </c>
      <c r="I49" t="s">
        <v>11</v>
      </c>
      <c r="J49" t="s">
        <v>127</v>
      </c>
      <c r="K49">
        <f ca="1">DATEDIF(Sheet1__2[[#This Row],[Date of Joining]],$S$6,"M")</f>
        <v>118</v>
      </c>
    </row>
    <row r="50" spans="1:11" x14ac:dyDescent="0.3">
      <c r="A50" t="s">
        <v>128</v>
      </c>
      <c r="B50" t="s">
        <v>14</v>
      </c>
      <c r="C50" t="s">
        <v>40</v>
      </c>
      <c r="D50" t="s">
        <v>33</v>
      </c>
      <c r="E50">
        <v>30280</v>
      </c>
      <c r="F50" s="3">
        <v>42372</v>
      </c>
      <c r="G50" t="s">
        <v>302</v>
      </c>
      <c r="H50">
        <v>1</v>
      </c>
      <c r="I50" t="s">
        <v>11</v>
      </c>
      <c r="J50" t="s">
        <v>129</v>
      </c>
      <c r="K50">
        <f ca="1">DATEDIF(Sheet1__2[[#This Row],[Date of Joining]],$S$6,"M")</f>
        <v>118</v>
      </c>
    </row>
    <row r="51" spans="1:11" x14ac:dyDescent="0.3">
      <c r="A51" t="s">
        <v>130</v>
      </c>
      <c r="B51" t="s">
        <v>14</v>
      </c>
      <c r="C51" t="s">
        <v>9</v>
      </c>
      <c r="D51" t="s">
        <v>45</v>
      </c>
      <c r="E51">
        <v>33352</v>
      </c>
      <c r="F51" s="3">
        <v>42379</v>
      </c>
      <c r="G51" t="s">
        <v>309</v>
      </c>
      <c r="H51">
        <v>3</v>
      </c>
      <c r="I51" t="s">
        <v>34</v>
      </c>
      <c r="J51" t="s">
        <v>69</v>
      </c>
      <c r="K51">
        <f ca="1">DATEDIF(Sheet1__2[[#This Row],[Date of Joining]],$S$6,"M")</f>
        <v>118</v>
      </c>
    </row>
    <row r="52" spans="1:11" x14ac:dyDescent="0.3">
      <c r="A52" t="s">
        <v>131</v>
      </c>
      <c r="B52" t="s">
        <v>52</v>
      </c>
      <c r="C52" t="s">
        <v>40</v>
      </c>
      <c r="D52" t="s">
        <v>45</v>
      </c>
      <c r="E52">
        <v>75633</v>
      </c>
      <c r="F52" s="3">
        <v>42386</v>
      </c>
      <c r="G52" t="s">
        <v>309</v>
      </c>
      <c r="H52">
        <v>5</v>
      </c>
      <c r="I52" t="s">
        <v>17</v>
      </c>
      <c r="J52" t="s">
        <v>132</v>
      </c>
      <c r="K52">
        <f ca="1">DATEDIF(Sheet1__2[[#This Row],[Date of Joining]],$S$6,"M")</f>
        <v>117</v>
      </c>
    </row>
    <row r="53" spans="1:11" x14ac:dyDescent="0.3">
      <c r="A53" t="s">
        <v>133</v>
      </c>
      <c r="B53" t="s">
        <v>39</v>
      </c>
      <c r="C53" t="s">
        <v>11</v>
      </c>
      <c r="D53" t="s">
        <v>25</v>
      </c>
      <c r="E53">
        <v>74815</v>
      </c>
      <c r="F53" s="3">
        <v>42393</v>
      </c>
      <c r="G53" t="s">
        <v>302</v>
      </c>
      <c r="H53">
        <v>5</v>
      </c>
      <c r="I53" t="s">
        <v>34</v>
      </c>
      <c r="J53" t="s">
        <v>134</v>
      </c>
      <c r="K53">
        <f ca="1">DATEDIF(Sheet1__2[[#This Row],[Date of Joining]],$S$6,"M")</f>
        <v>117</v>
      </c>
    </row>
    <row r="54" spans="1:11" x14ac:dyDescent="0.3">
      <c r="A54" t="s">
        <v>135</v>
      </c>
      <c r="B54" t="s">
        <v>23</v>
      </c>
      <c r="C54" t="s">
        <v>24</v>
      </c>
      <c r="D54" t="s">
        <v>62</v>
      </c>
      <c r="E54">
        <v>60011</v>
      </c>
      <c r="F54" s="3">
        <v>42400</v>
      </c>
      <c r="G54" t="s">
        <v>302</v>
      </c>
      <c r="H54">
        <v>1</v>
      </c>
      <c r="I54" t="s">
        <v>26</v>
      </c>
      <c r="J54" t="s">
        <v>136</v>
      </c>
      <c r="K54">
        <f ca="1">DATEDIF(Sheet1__2[[#This Row],[Date of Joining]],$S$6,"M")</f>
        <v>117</v>
      </c>
    </row>
    <row r="55" spans="1:11" x14ac:dyDescent="0.3">
      <c r="A55" t="s">
        <v>137</v>
      </c>
      <c r="B55" t="s">
        <v>14</v>
      </c>
      <c r="C55" t="s">
        <v>11</v>
      </c>
      <c r="D55" t="s">
        <v>33</v>
      </c>
      <c r="E55">
        <v>96949</v>
      </c>
      <c r="F55" s="3">
        <v>42407</v>
      </c>
      <c r="G55" t="s">
        <v>309</v>
      </c>
      <c r="H55">
        <v>3</v>
      </c>
      <c r="I55" t="s">
        <v>11</v>
      </c>
      <c r="J55" t="s">
        <v>83</v>
      </c>
      <c r="K55">
        <f ca="1">DATEDIF(Sheet1__2[[#This Row],[Date of Joining]],$S$6,"M")</f>
        <v>117</v>
      </c>
    </row>
    <row r="56" spans="1:11" x14ac:dyDescent="0.3">
      <c r="A56" t="s">
        <v>138</v>
      </c>
      <c r="B56" t="s">
        <v>37</v>
      </c>
      <c r="C56" t="s">
        <v>40</v>
      </c>
      <c r="D56" t="s">
        <v>33</v>
      </c>
      <c r="E56">
        <v>84924</v>
      </c>
      <c r="F56" s="3">
        <v>42414</v>
      </c>
      <c r="G56" t="s">
        <v>309</v>
      </c>
      <c r="H56">
        <v>5</v>
      </c>
      <c r="I56" t="s">
        <v>26</v>
      </c>
      <c r="J56" t="s">
        <v>139</v>
      </c>
      <c r="K56">
        <f ca="1">DATEDIF(Sheet1__2[[#This Row],[Date of Joining]],$S$6,"M")</f>
        <v>117</v>
      </c>
    </row>
    <row r="57" spans="1:11" x14ac:dyDescent="0.3">
      <c r="A57" t="s">
        <v>140</v>
      </c>
      <c r="B57" t="s">
        <v>37</v>
      </c>
      <c r="C57" t="s">
        <v>9</v>
      </c>
      <c r="D57" t="s">
        <v>25</v>
      </c>
      <c r="E57">
        <v>82033</v>
      </c>
      <c r="F57" s="3">
        <v>42421</v>
      </c>
      <c r="G57" t="s">
        <v>302</v>
      </c>
      <c r="H57">
        <v>1</v>
      </c>
      <c r="I57" t="s">
        <v>11</v>
      </c>
      <c r="J57" t="s">
        <v>116</v>
      </c>
      <c r="K57">
        <f ca="1">DATEDIF(Sheet1__2[[#This Row],[Date of Joining]],$S$6,"M")</f>
        <v>116</v>
      </c>
    </row>
    <row r="58" spans="1:11" x14ac:dyDescent="0.3">
      <c r="A58" t="s">
        <v>143</v>
      </c>
      <c r="B58" t="s">
        <v>14</v>
      </c>
      <c r="C58" t="s">
        <v>11</v>
      </c>
      <c r="D58" t="s">
        <v>62</v>
      </c>
      <c r="E58">
        <v>31499</v>
      </c>
      <c r="F58" s="3">
        <v>42435</v>
      </c>
      <c r="G58" t="s">
        <v>302</v>
      </c>
      <c r="H58">
        <v>2</v>
      </c>
      <c r="I58" t="s">
        <v>11</v>
      </c>
      <c r="J58" t="s">
        <v>100</v>
      </c>
      <c r="K58">
        <f ca="1">DATEDIF(Sheet1__2[[#This Row],[Date of Joining]],$S$6,"M")</f>
        <v>116</v>
      </c>
    </row>
    <row r="59" spans="1:11" x14ac:dyDescent="0.3">
      <c r="A59" t="s">
        <v>144</v>
      </c>
      <c r="B59" t="s">
        <v>39</v>
      </c>
      <c r="C59" t="s">
        <v>32</v>
      </c>
      <c r="D59" t="s">
        <v>45</v>
      </c>
      <c r="E59">
        <v>97981</v>
      </c>
      <c r="F59" s="3">
        <v>42442</v>
      </c>
      <c r="G59" t="s">
        <v>309</v>
      </c>
      <c r="H59">
        <v>5</v>
      </c>
      <c r="I59" t="s">
        <v>34</v>
      </c>
      <c r="J59" t="s">
        <v>145</v>
      </c>
      <c r="K59">
        <f ca="1">DATEDIF(Sheet1__2[[#This Row],[Date of Joining]],$S$6,"M")</f>
        <v>116</v>
      </c>
    </row>
    <row r="60" spans="1:11" x14ac:dyDescent="0.3">
      <c r="A60" t="s">
        <v>146</v>
      </c>
      <c r="B60" t="s">
        <v>14</v>
      </c>
      <c r="C60" t="s">
        <v>15</v>
      </c>
      <c r="D60" t="s">
        <v>25</v>
      </c>
      <c r="E60">
        <v>36541</v>
      </c>
      <c r="F60" s="3">
        <v>42449</v>
      </c>
      <c r="G60" t="s">
        <v>302</v>
      </c>
      <c r="H60">
        <v>2</v>
      </c>
      <c r="I60" t="s">
        <v>17</v>
      </c>
      <c r="J60" t="s">
        <v>147</v>
      </c>
      <c r="K60">
        <f ca="1">DATEDIF(Sheet1__2[[#This Row],[Date of Joining]],$S$6,"M")</f>
        <v>115</v>
      </c>
    </row>
    <row r="61" spans="1:11" x14ac:dyDescent="0.3">
      <c r="A61" t="s">
        <v>148</v>
      </c>
      <c r="B61" t="s">
        <v>23</v>
      </c>
      <c r="C61" t="s">
        <v>32</v>
      </c>
      <c r="D61" t="s">
        <v>33</v>
      </c>
      <c r="E61">
        <v>84737</v>
      </c>
      <c r="F61" s="3">
        <v>42456</v>
      </c>
      <c r="G61" t="s">
        <v>309</v>
      </c>
      <c r="H61">
        <v>1</v>
      </c>
      <c r="I61" t="s">
        <v>26</v>
      </c>
      <c r="J61" t="s">
        <v>149</v>
      </c>
      <c r="K61">
        <f ca="1">DATEDIF(Sheet1__2[[#This Row],[Date of Joining]],$S$6,"M")</f>
        <v>115</v>
      </c>
    </row>
    <row r="62" spans="1:11" x14ac:dyDescent="0.3">
      <c r="A62" t="s">
        <v>150</v>
      </c>
      <c r="B62" t="s">
        <v>37</v>
      </c>
      <c r="C62" t="s">
        <v>9</v>
      </c>
      <c r="D62" t="s">
        <v>33</v>
      </c>
      <c r="E62">
        <v>33468</v>
      </c>
      <c r="F62" s="3">
        <v>42463</v>
      </c>
      <c r="G62" t="s">
        <v>309</v>
      </c>
      <c r="H62">
        <v>4</v>
      </c>
      <c r="I62" t="s">
        <v>26</v>
      </c>
      <c r="J62" t="s">
        <v>151</v>
      </c>
      <c r="K62">
        <f ca="1">DATEDIF(Sheet1__2[[#This Row],[Date of Joining]],$S$6,"M")</f>
        <v>115</v>
      </c>
    </row>
    <row r="63" spans="1:11" x14ac:dyDescent="0.3">
      <c r="A63" t="s">
        <v>152</v>
      </c>
      <c r="B63" t="s">
        <v>37</v>
      </c>
      <c r="C63" t="s">
        <v>11</v>
      </c>
      <c r="D63" t="s">
        <v>62</v>
      </c>
      <c r="E63">
        <v>96365</v>
      </c>
      <c r="F63" s="3">
        <v>42470</v>
      </c>
      <c r="G63" t="s">
        <v>302</v>
      </c>
      <c r="H63">
        <v>3</v>
      </c>
      <c r="I63" t="s">
        <v>17</v>
      </c>
      <c r="J63" t="s">
        <v>153</v>
      </c>
      <c r="K63">
        <f ca="1">DATEDIF(Sheet1__2[[#This Row],[Date of Joining]],$S$6,"M")</f>
        <v>115</v>
      </c>
    </row>
    <row r="64" spans="1:11" x14ac:dyDescent="0.3">
      <c r="A64" t="s">
        <v>154</v>
      </c>
      <c r="B64" t="s">
        <v>20</v>
      </c>
      <c r="C64" t="s">
        <v>24</v>
      </c>
      <c r="D64" t="s">
        <v>33</v>
      </c>
      <c r="E64">
        <v>61942</v>
      </c>
      <c r="F64" s="3">
        <v>42477</v>
      </c>
      <c r="G64" t="s">
        <v>309</v>
      </c>
      <c r="H64">
        <v>3</v>
      </c>
      <c r="I64" t="s">
        <v>34</v>
      </c>
      <c r="J64" t="s">
        <v>155</v>
      </c>
      <c r="K64">
        <f ca="1">DATEDIF(Sheet1__2[[#This Row],[Date of Joining]],$S$6,"M")</f>
        <v>114</v>
      </c>
    </row>
    <row r="65" spans="1:11" x14ac:dyDescent="0.3">
      <c r="A65" t="s">
        <v>156</v>
      </c>
      <c r="B65" t="s">
        <v>37</v>
      </c>
      <c r="C65" t="s">
        <v>9</v>
      </c>
      <c r="D65" t="s">
        <v>45</v>
      </c>
      <c r="E65">
        <v>41467</v>
      </c>
      <c r="F65" s="3">
        <v>42484</v>
      </c>
      <c r="G65" t="s">
        <v>309</v>
      </c>
      <c r="H65">
        <v>2</v>
      </c>
      <c r="I65" t="s">
        <v>11</v>
      </c>
      <c r="J65" t="s">
        <v>71</v>
      </c>
      <c r="K65">
        <f ca="1">DATEDIF(Sheet1__2[[#This Row],[Date of Joining]],$S$6,"M")</f>
        <v>114</v>
      </c>
    </row>
    <row r="66" spans="1:11" x14ac:dyDescent="0.3">
      <c r="A66" t="s">
        <v>157</v>
      </c>
      <c r="B66" t="s">
        <v>52</v>
      </c>
      <c r="C66" t="s">
        <v>9</v>
      </c>
      <c r="D66" t="s">
        <v>33</v>
      </c>
      <c r="E66">
        <v>77096</v>
      </c>
      <c r="F66" s="3">
        <v>42491</v>
      </c>
      <c r="G66" t="s">
        <v>309</v>
      </c>
      <c r="H66">
        <v>1</v>
      </c>
      <c r="I66" t="s">
        <v>11</v>
      </c>
      <c r="J66" t="s">
        <v>158</v>
      </c>
      <c r="K66">
        <f ca="1">DATEDIF(Sheet1__2[[#This Row],[Date of Joining]],$S$6,"M")</f>
        <v>114</v>
      </c>
    </row>
    <row r="67" spans="1:11" x14ac:dyDescent="0.3">
      <c r="A67" t="s">
        <v>159</v>
      </c>
      <c r="B67" t="s">
        <v>14</v>
      </c>
      <c r="C67" t="s">
        <v>24</v>
      </c>
      <c r="D67" t="s">
        <v>62</v>
      </c>
      <c r="E67">
        <v>69952</v>
      </c>
      <c r="F67" s="3">
        <v>42498</v>
      </c>
      <c r="G67" t="s">
        <v>309</v>
      </c>
      <c r="H67">
        <v>5</v>
      </c>
      <c r="I67" t="s">
        <v>34</v>
      </c>
      <c r="J67" t="s">
        <v>12</v>
      </c>
      <c r="K67">
        <f ca="1">DATEDIF(Sheet1__2[[#This Row],[Date of Joining]],$S$6,"M")</f>
        <v>114</v>
      </c>
    </row>
    <row r="68" spans="1:11" x14ac:dyDescent="0.3">
      <c r="A68" t="s">
        <v>160</v>
      </c>
      <c r="B68" t="s">
        <v>14</v>
      </c>
      <c r="C68" t="s">
        <v>40</v>
      </c>
      <c r="D68" t="s">
        <v>25</v>
      </c>
      <c r="E68">
        <v>85065</v>
      </c>
      <c r="F68" s="3">
        <v>42505</v>
      </c>
      <c r="G68" t="s">
        <v>302</v>
      </c>
      <c r="H68">
        <v>3</v>
      </c>
      <c r="I68" t="s">
        <v>11</v>
      </c>
      <c r="J68" t="s">
        <v>161</v>
      </c>
      <c r="K68">
        <f ca="1">DATEDIF(Sheet1__2[[#This Row],[Date of Joining]],$S$6,"M")</f>
        <v>114</v>
      </c>
    </row>
    <row r="69" spans="1:11" x14ac:dyDescent="0.3">
      <c r="A69" t="s">
        <v>162</v>
      </c>
      <c r="B69" t="s">
        <v>52</v>
      </c>
      <c r="C69" t="s">
        <v>40</v>
      </c>
      <c r="D69" t="s">
        <v>33</v>
      </c>
      <c r="E69">
        <v>56512</v>
      </c>
      <c r="F69" s="3">
        <v>42512</v>
      </c>
      <c r="G69" t="s">
        <v>309</v>
      </c>
      <c r="H69">
        <v>0</v>
      </c>
      <c r="I69" t="s">
        <v>17</v>
      </c>
      <c r="J69" t="s">
        <v>46</v>
      </c>
      <c r="K69">
        <f ca="1">DATEDIF(Sheet1__2[[#This Row],[Date of Joining]],$S$6,"M")</f>
        <v>113</v>
      </c>
    </row>
    <row r="70" spans="1:11" x14ac:dyDescent="0.3">
      <c r="A70" t="s">
        <v>163</v>
      </c>
      <c r="B70" t="s">
        <v>23</v>
      </c>
      <c r="C70" t="s">
        <v>24</v>
      </c>
      <c r="D70" t="s">
        <v>33</v>
      </c>
      <c r="E70">
        <v>91101</v>
      </c>
      <c r="F70" s="3">
        <v>42519</v>
      </c>
      <c r="G70" t="s">
        <v>309</v>
      </c>
      <c r="H70">
        <v>4</v>
      </c>
      <c r="I70" t="s">
        <v>34</v>
      </c>
      <c r="J70" t="s">
        <v>145</v>
      </c>
      <c r="K70">
        <f ca="1">DATEDIF(Sheet1__2[[#This Row],[Date of Joining]],$S$6,"M")</f>
        <v>113</v>
      </c>
    </row>
    <row r="71" spans="1:11" x14ac:dyDescent="0.3">
      <c r="A71" t="s">
        <v>164</v>
      </c>
      <c r="B71" t="s">
        <v>37</v>
      </c>
      <c r="C71" t="s">
        <v>11</v>
      </c>
      <c r="D71" t="s">
        <v>16</v>
      </c>
      <c r="E71">
        <v>41243</v>
      </c>
      <c r="F71" s="3">
        <v>42526</v>
      </c>
      <c r="G71" t="s">
        <v>302</v>
      </c>
      <c r="H71">
        <v>0</v>
      </c>
      <c r="I71" t="s">
        <v>11</v>
      </c>
      <c r="J71" t="s">
        <v>91</v>
      </c>
      <c r="K71">
        <f ca="1">DATEDIF(Sheet1__2[[#This Row],[Date of Joining]],$S$6,"M")</f>
        <v>113</v>
      </c>
    </row>
    <row r="72" spans="1:11" x14ac:dyDescent="0.3">
      <c r="A72" t="s">
        <v>165</v>
      </c>
      <c r="B72" t="s">
        <v>310</v>
      </c>
      <c r="C72" t="s">
        <v>24</v>
      </c>
      <c r="D72" t="s">
        <v>33</v>
      </c>
      <c r="E72">
        <v>96142</v>
      </c>
      <c r="F72" s="3">
        <v>42533</v>
      </c>
      <c r="G72" t="s">
        <v>309</v>
      </c>
      <c r="H72">
        <v>1</v>
      </c>
      <c r="I72" t="s">
        <v>17</v>
      </c>
      <c r="J72" t="s">
        <v>166</v>
      </c>
      <c r="K72">
        <f ca="1">DATEDIF(Sheet1__2[[#This Row],[Date of Joining]],$S$6,"M")</f>
        <v>113</v>
      </c>
    </row>
    <row r="73" spans="1:11" x14ac:dyDescent="0.3">
      <c r="A73" t="s">
        <v>167</v>
      </c>
      <c r="B73" t="s">
        <v>14</v>
      </c>
      <c r="C73" t="s">
        <v>32</v>
      </c>
      <c r="D73" t="s">
        <v>33</v>
      </c>
      <c r="E73">
        <v>94301</v>
      </c>
      <c r="F73" s="3">
        <v>42540</v>
      </c>
      <c r="G73" t="s">
        <v>309</v>
      </c>
      <c r="H73">
        <v>1</v>
      </c>
      <c r="I73" t="s">
        <v>26</v>
      </c>
      <c r="J73" t="s">
        <v>116</v>
      </c>
      <c r="K73">
        <f ca="1">DATEDIF(Sheet1__2[[#This Row],[Date of Joining]],$S$6,"M")</f>
        <v>112</v>
      </c>
    </row>
    <row r="74" spans="1:11" x14ac:dyDescent="0.3">
      <c r="A74" t="s">
        <v>168</v>
      </c>
      <c r="B74" t="s">
        <v>29</v>
      </c>
      <c r="C74" t="s">
        <v>11</v>
      </c>
      <c r="D74" t="s">
        <v>45</v>
      </c>
      <c r="E74">
        <v>69166</v>
      </c>
      <c r="F74" s="3">
        <v>42547</v>
      </c>
      <c r="G74" t="s">
        <v>309</v>
      </c>
      <c r="H74">
        <v>1</v>
      </c>
      <c r="I74" t="s">
        <v>34</v>
      </c>
      <c r="J74" t="s">
        <v>169</v>
      </c>
      <c r="K74">
        <f ca="1">DATEDIF(Sheet1__2[[#This Row],[Date of Joining]],$S$6,"M")</f>
        <v>112</v>
      </c>
    </row>
    <row r="75" spans="1:11" x14ac:dyDescent="0.3">
      <c r="A75" t="s">
        <v>170</v>
      </c>
      <c r="B75" t="s">
        <v>37</v>
      </c>
      <c r="C75" t="s">
        <v>11</v>
      </c>
      <c r="D75" t="s">
        <v>45</v>
      </c>
      <c r="E75">
        <v>78245</v>
      </c>
      <c r="F75" s="3">
        <v>42554</v>
      </c>
      <c r="G75" t="s">
        <v>309</v>
      </c>
      <c r="H75">
        <v>2</v>
      </c>
      <c r="I75" t="s">
        <v>11</v>
      </c>
      <c r="J75" t="s">
        <v>171</v>
      </c>
      <c r="K75">
        <f ca="1">DATEDIF(Sheet1__2[[#This Row],[Date of Joining]],$S$6,"M")</f>
        <v>112</v>
      </c>
    </row>
    <row r="76" spans="1:11" x14ac:dyDescent="0.3">
      <c r="A76" t="s">
        <v>172</v>
      </c>
      <c r="B76" t="s">
        <v>39</v>
      </c>
      <c r="C76" t="s">
        <v>24</v>
      </c>
      <c r="D76" t="s">
        <v>25</v>
      </c>
      <c r="E76">
        <v>66079</v>
      </c>
      <c r="F76" s="3">
        <v>42561</v>
      </c>
      <c r="G76" t="s">
        <v>309</v>
      </c>
      <c r="H76">
        <v>2</v>
      </c>
      <c r="I76" t="s">
        <v>17</v>
      </c>
      <c r="J76" t="s">
        <v>173</v>
      </c>
      <c r="K76">
        <f ca="1">DATEDIF(Sheet1__2[[#This Row],[Date of Joining]],$S$6,"M")</f>
        <v>112</v>
      </c>
    </row>
    <row r="77" spans="1:11" x14ac:dyDescent="0.3">
      <c r="A77" t="s">
        <v>175</v>
      </c>
      <c r="B77" t="s">
        <v>29</v>
      </c>
      <c r="C77" t="s">
        <v>24</v>
      </c>
      <c r="D77" t="s">
        <v>25</v>
      </c>
      <c r="E77">
        <v>95621</v>
      </c>
      <c r="F77" s="3">
        <v>42575</v>
      </c>
      <c r="G77" t="s">
        <v>309</v>
      </c>
      <c r="H77">
        <v>3</v>
      </c>
      <c r="I77" t="s">
        <v>34</v>
      </c>
      <c r="J77" t="s">
        <v>176</v>
      </c>
      <c r="K77">
        <f ca="1">DATEDIF(Sheet1__2[[#This Row],[Date of Joining]],$S$6,"M")</f>
        <v>111</v>
      </c>
    </row>
    <row r="78" spans="1:11" x14ac:dyDescent="0.3">
      <c r="A78" t="s">
        <v>177</v>
      </c>
      <c r="B78" t="s">
        <v>14</v>
      </c>
      <c r="C78" t="s">
        <v>32</v>
      </c>
      <c r="D78" t="s">
        <v>45</v>
      </c>
      <c r="E78">
        <v>42262</v>
      </c>
      <c r="F78" s="3">
        <v>42582</v>
      </c>
      <c r="G78" t="s">
        <v>309</v>
      </c>
      <c r="H78">
        <v>1</v>
      </c>
      <c r="I78" t="s">
        <v>11</v>
      </c>
      <c r="J78" t="s">
        <v>178</v>
      </c>
      <c r="K78">
        <f ca="1">DATEDIF(Sheet1__2[[#This Row],[Date of Joining]],$S$6,"M")</f>
        <v>111</v>
      </c>
    </row>
    <row r="79" spans="1:11" x14ac:dyDescent="0.3">
      <c r="A79" t="s">
        <v>179</v>
      </c>
      <c r="B79" t="s">
        <v>37</v>
      </c>
      <c r="C79" t="s">
        <v>24</v>
      </c>
      <c r="D79" t="s">
        <v>33</v>
      </c>
      <c r="E79">
        <v>99621</v>
      </c>
      <c r="F79" s="3">
        <v>42589</v>
      </c>
      <c r="G79" t="s">
        <v>309</v>
      </c>
      <c r="H79">
        <v>0</v>
      </c>
      <c r="I79" t="s">
        <v>17</v>
      </c>
      <c r="J79" t="s">
        <v>180</v>
      </c>
      <c r="K79">
        <f ca="1">DATEDIF(Sheet1__2[[#This Row],[Date of Joining]],$S$6,"M")</f>
        <v>111</v>
      </c>
    </row>
    <row r="80" spans="1:11" x14ac:dyDescent="0.3">
      <c r="A80" t="s">
        <v>181</v>
      </c>
      <c r="B80" t="s">
        <v>23</v>
      </c>
      <c r="C80" t="s">
        <v>40</v>
      </c>
      <c r="D80" t="s">
        <v>33</v>
      </c>
      <c r="E80">
        <v>44682</v>
      </c>
      <c r="F80" s="3">
        <v>42596</v>
      </c>
      <c r="G80" t="s">
        <v>309</v>
      </c>
      <c r="H80">
        <v>4</v>
      </c>
      <c r="I80" t="s">
        <v>34</v>
      </c>
      <c r="J80" t="s">
        <v>110</v>
      </c>
      <c r="K80">
        <f ca="1">DATEDIF(Sheet1__2[[#This Row],[Date of Joining]],$S$6,"M")</f>
        <v>111</v>
      </c>
    </row>
    <row r="81" spans="1:11" x14ac:dyDescent="0.3">
      <c r="A81" t="s">
        <v>182</v>
      </c>
      <c r="B81" t="s">
        <v>39</v>
      </c>
      <c r="C81" t="s">
        <v>9</v>
      </c>
      <c r="D81" t="s">
        <v>33</v>
      </c>
      <c r="E81">
        <v>35163</v>
      </c>
      <c r="F81" s="3">
        <v>42603</v>
      </c>
      <c r="G81" t="s">
        <v>302</v>
      </c>
      <c r="H81">
        <v>5</v>
      </c>
      <c r="I81" t="s">
        <v>17</v>
      </c>
      <c r="J81" t="s">
        <v>183</v>
      </c>
      <c r="K81">
        <f ca="1">DATEDIF(Sheet1__2[[#This Row],[Date of Joining]],$S$6,"M")</f>
        <v>110</v>
      </c>
    </row>
    <row r="82" spans="1:11" x14ac:dyDescent="0.3">
      <c r="A82" t="s">
        <v>184</v>
      </c>
      <c r="B82" t="s">
        <v>39</v>
      </c>
      <c r="C82" t="s">
        <v>32</v>
      </c>
      <c r="D82" t="s">
        <v>33</v>
      </c>
      <c r="E82">
        <v>33483</v>
      </c>
      <c r="F82" s="3">
        <v>42610</v>
      </c>
      <c r="G82" t="s">
        <v>302</v>
      </c>
      <c r="H82">
        <v>4</v>
      </c>
      <c r="I82" t="s">
        <v>26</v>
      </c>
      <c r="J82" t="s">
        <v>185</v>
      </c>
      <c r="K82">
        <f ca="1">DATEDIF(Sheet1__2[[#This Row],[Date of Joining]],$S$6,"M")</f>
        <v>110</v>
      </c>
    </row>
    <row r="83" spans="1:11" x14ac:dyDescent="0.3">
      <c r="A83" t="s">
        <v>186</v>
      </c>
      <c r="B83" t="s">
        <v>37</v>
      </c>
      <c r="C83" t="s">
        <v>15</v>
      </c>
      <c r="D83" t="s">
        <v>16</v>
      </c>
      <c r="E83">
        <v>55303</v>
      </c>
      <c r="F83" s="3">
        <v>42617</v>
      </c>
      <c r="G83" t="s">
        <v>302</v>
      </c>
      <c r="H83">
        <v>4</v>
      </c>
      <c r="I83" t="s">
        <v>26</v>
      </c>
      <c r="J83" t="s">
        <v>75</v>
      </c>
      <c r="K83">
        <f ca="1">DATEDIF(Sheet1__2[[#This Row],[Date of Joining]],$S$6,"M")</f>
        <v>110</v>
      </c>
    </row>
    <row r="84" spans="1:11" x14ac:dyDescent="0.3">
      <c r="A84" t="s">
        <v>187</v>
      </c>
      <c r="B84" t="s">
        <v>39</v>
      </c>
      <c r="C84" t="s">
        <v>32</v>
      </c>
      <c r="D84" t="s">
        <v>33</v>
      </c>
      <c r="E84">
        <v>63434</v>
      </c>
      <c r="F84" s="3">
        <v>42624</v>
      </c>
      <c r="G84" t="s">
        <v>302</v>
      </c>
      <c r="H84">
        <v>3</v>
      </c>
      <c r="I84" t="s">
        <v>11</v>
      </c>
      <c r="J84" t="s">
        <v>188</v>
      </c>
      <c r="K84">
        <f ca="1">DATEDIF(Sheet1__2[[#This Row],[Date of Joining]],$S$6,"M")</f>
        <v>110</v>
      </c>
    </row>
    <row r="85" spans="1:11" x14ac:dyDescent="0.3">
      <c r="A85" t="s">
        <v>189</v>
      </c>
      <c r="B85" t="s">
        <v>29</v>
      </c>
      <c r="C85" t="s">
        <v>11</v>
      </c>
      <c r="D85" t="s">
        <v>62</v>
      </c>
      <c r="E85">
        <v>38830</v>
      </c>
      <c r="F85" s="3">
        <v>42631</v>
      </c>
      <c r="G85" t="s">
        <v>309</v>
      </c>
      <c r="H85">
        <v>3</v>
      </c>
      <c r="I85" t="s">
        <v>17</v>
      </c>
      <c r="J85" t="s">
        <v>75</v>
      </c>
      <c r="K85">
        <f ca="1">DATEDIF(Sheet1__2[[#This Row],[Date of Joining]],$S$6,"M")</f>
        <v>109</v>
      </c>
    </row>
    <row r="86" spans="1:11" x14ac:dyDescent="0.3">
      <c r="A86" t="s">
        <v>190</v>
      </c>
      <c r="B86" t="s">
        <v>310</v>
      </c>
      <c r="C86" t="s">
        <v>40</v>
      </c>
      <c r="D86" t="s">
        <v>45</v>
      </c>
      <c r="E86">
        <v>50741</v>
      </c>
      <c r="F86" s="3">
        <v>42638</v>
      </c>
      <c r="G86" t="s">
        <v>309</v>
      </c>
      <c r="H86">
        <v>3</v>
      </c>
      <c r="I86" t="s">
        <v>11</v>
      </c>
      <c r="J86" t="s">
        <v>158</v>
      </c>
      <c r="K86">
        <f ca="1">DATEDIF(Sheet1__2[[#This Row],[Date of Joining]],$S$6,"M")</f>
        <v>109</v>
      </c>
    </row>
    <row r="87" spans="1:11" x14ac:dyDescent="0.3">
      <c r="A87" t="s">
        <v>191</v>
      </c>
      <c r="B87" t="s">
        <v>20</v>
      </c>
      <c r="C87" t="s">
        <v>15</v>
      </c>
      <c r="D87" t="s">
        <v>62</v>
      </c>
      <c r="E87">
        <v>69420</v>
      </c>
      <c r="F87" s="3">
        <v>42645</v>
      </c>
      <c r="G87" t="s">
        <v>309</v>
      </c>
      <c r="H87">
        <v>1</v>
      </c>
      <c r="I87" t="s">
        <v>26</v>
      </c>
      <c r="J87" t="s">
        <v>121</v>
      </c>
      <c r="K87">
        <f ca="1">DATEDIF(Sheet1__2[[#This Row],[Date of Joining]],$S$6,"M")</f>
        <v>109</v>
      </c>
    </row>
    <row r="88" spans="1:11" x14ac:dyDescent="0.3">
      <c r="A88" t="s">
        <v>192</v>
      </c>
      <c r="B88" t="s">
        <v>29</v>
      </c>
      <c r="C88" t="s">
        <v>32</v>
      </c>
      <c r="D88" t="s">
        <v>33</v>
      </c>
      <c r="E88">
        <v>80588</v>
      </c>
      <c r="F88" s="3">
        <v>42652</v>
      </c>
      <c r="G88" t="s">
        <v>309</v>
      </c>
      <c r="H88">
        <v>5</v>
      </c>
      <c r="I88" t="s">
        <v>26</v>
      </c>
      <c r="J88" t="s">
        <v>102</v>
      </c>
      <c r="K88">
        <f ca="1">DATEDIF(Sheet1__2[[#This Row],[Date of Joining]],$S$6,"M")</f>
        <v>109</v>
      </c>
    </row>
    <row r="89" spans="1:11" x14ac:dyDescent="0.3">
      <c r="A89" t="s">
        <v>193</v>
      </c>
      <c r="B89" t="s">
        <v>20</v>
      </c>
      <c r="C89" t="s">
        <v>11</v>
      </c>
      <c r="D89" t="s">
        <v>25</v>
      </c>
      <c r="E89">
        <v>76238</v>
      </c>
      <c r="F89" s="3">
        <v>42659</v>
      </c>
      <c r="G89" t="s">
        <v>302</v>
      </c>
      <c r="H89">
        <v>4</v>
      </c>
      <c r="I89" t="s">
        <v>26</v>
      </c>
      <c r="J89" t="s">
        <v>194</v>
      </c>
      <c r="K89">
        <f ca="1">DATEDIF(Sheet1__2[[#This Row],[Date of Joining]],$S$6,"M")</f>
        <v>109</v>
      </c>
    </row>
    <row r="90" spans="1:11" x14ac:dyDescent="0.3">
      <c r="A90" t="s">
        <v>195</v>
      </c>
      <c r="B90" t="s">
        <v>52</v>
      </c>
      <c r="C90" t="s">
        <v>32</v>
      </c>
      <c r="D90" t="s">
        <v>33</v>
      </c>
      <c r="E90">
        <v>33264</v>
      </c>
      <c r="F90" s="3">
        <v>42666</v>
      </c>
      <c r="G90" t="s">
        <v>302</v>
      </c>
      <c r="H90">
        <v>0</v>
      </c>
      <c r="I90" t="s">
        <v>34</v>
      </c>
      <c r="J90" t="s">
        <v>196</v>
      </c>
      <c r="K90">
        <f ca="1">DATEDIF(Sheet1__2[[#This Row],[Date of Joining]],$S$6,"M")</f>
        <v>108</v>
      </c>
    </row>
    <row r="91" spans="1:11" x14ac:dyDescent="0.3">
      <c r="A91" t="s">
        <v>197</v>
      </c>
      <c r="B91" t="s">
        <v>20</v>
      </c>
      <c r="C91" t="s">
        <v>9</v>
      </c>
      <c r="D91" t="s">
        <v>62</v>
      </c>
      <c r="E91">
        <v>96101</v>
      </c>
      <c r="F91" s="3">
        <v>42673</v>
      </c>
      <c r="G91" t="s">
        <v>309</v>
      </c>
      <c r="H91">
        <v>0</v>
      </c>
      <c r="I91" t="s">
        <v>17</v>
      </c>
      <c r="J91" t="s">
        <v>198</v>
      </c>
      <c r="K91">
        <f ca="1">DATEDIF(Sheet1__2[[#This Row],[Date of Joining]],$S$6,"M")</f>
        <v>108</v>
      </c>
    </row>
    <row r="92" spans="1:11" x14ac:dyDescent="0.3">
      <c r="A92" t="s">
        <v>199</v>
      </c>
      <c r="B92" t="s">
        <v>29</v>
      </c>
      <c r="C92" t="s">
        <v>9</v>
      </c>
      <c r="D92" t="s">
        <v>25</v>
      </c>
      <c r="E92">
        <v>72939</v>
      </c>
      <c r="F92" s="3">
        <v>42680</v>
      </c>
      <c r="G92" t="s">
        <v>309</v>
      </c>
      <c r="H92">
        <v>3</v>
      </c>
      <c r="I92" t="s">
        <v>11</v>
      </c>
      <c r="J92" t="s">
        <v>200</v>
      </c>
      <c r="K92">
        <f ca="1">DATEDIF(Sheet1__2[[#This Row],[Date of Joining]],$S$6,"M")</f>
        <v>108</v>
      </c>
    </row>
    <row r="93" spans="1:11" x14ac:dyDescent="0.3">
      <c r="A93" t="s">
        <v>201</v>
      </c>
      <c r="B93" t="s">
        <v>37</v>
      </c>
      <c r="C93" t="s">
        <v>15</v>
      </c>
      <c r="D93" t="s">
        <v>16</v>
      </c>
      <c r="E93">
        <v>89333</v>
      </c>
      <c r="F93" s="3">
        <v>42687</v>
      </c>
      <c r="G93" t="s">
        <v>309</v>
      </c>
      <c r="H93">
        <v>1</v>
      </c>
      <c r="I93" t="s">
        <v>26</v>
      </c>
      <c r="J93" t="s">
        <v>202</v>
      </c>
      <c r="K93">
        <f ca="1">DATEDIF(Sheet1__2[[#This Row],[Date of Joining]],$S$6,"M")</f>
        <v>108</v>
      </c>
    </row>
    <row r="94" spans="1:11" x14ac:dyDescent="0.3">
      <c r="A94" t="s">
        <v>203</v>
      </c>
      <c r="B94" t="s">
        <v>52</v>
      </c>
      <c r="C94" t="s">
        <v>32</v>
      </c>
      <c r="D94" t="s">
        <v>62</v>
      </c>
      <c r="E94">
        <v>70470</v>
      </c>
      <c r="F94" s="3">
        <v>42694</v>
      </c>
      <c r="G94" t="s">
        <v>309</v>
      </c>
      <c r="H94">
        <v>0</v>
      </c>
      <c r="I94" t="s">
        <v>26</v>
      </c>
      <c r="J94" t="s">
        <v>204</v>
      </c>
      <c r="K94">
        <f ca="1">DATEDIF(Sheet1__2[[#This Row],[Date of Joining]],$S$6,"M")</f>
        <v>107</v>
      </c>
    </row>
    <row r="95" spans="1:11" x14ac:dyDescent="0.3">
      <c r="A95" t="s">
        <v>205</v>
      </c>
      <c r="B95" t="s">
        <v>14</v>
      </c>
      <c r="C95" t="s">
        <v>40</v>
      </c>
      <c r="D95" t="s">
        <v>25</v>
      </c>
      <c r="E95">
        <v>70096</v>
      </c>
      <c r="F95" s="3">
        <v>42701</v>
      </c>
      <c r="G95" t="s">
        <v>309</v>
      </c>
      <c r="H95">
        <v>4</v>
      </c>
      <c r="I95" t="s">
        <v>26</v>
      </c>
      <c r="J95" t="s">
        <v>206</v>
      </c>
      <c r="K95">
        <f ca="1">DATEDIF(Sheet1__2[[#This Row],[Date of Joining]],$S$6,"M")</f>
        <v>107</v>
      </c>
    </row>
    <row r="96" spans="1:11" x14ac:dyDescent="0.3">
      <c r="A96" t="s">
        <v>209</v>
      </c>
      <c r="B96" t="s">
        <v>52</v>
      </c>
      <c r="C96" t="s">
        <v>32</v>
      </c>
      <c r="D96" t="s">
        <v>16</v>
      </c>
      <c r="E96">
        <v>66503</v>
      </c>
      <c r="F96" s="3">
        <v>42715</v>
      </c>
      <c r="G96" t="s">
        <v>309</v>
      </c>
      <c r="H96">
        <v>0</v>
      </c>
      <c r="I96" t="s">
        <v>26</v>
      </c>
      <c r="J96" t="s">
        <v>69</v>
      </c>
      <c r="K96">
        <f ca="1">DATEDIF(Sheet1__2[[#This Row],[Date of Joining]],$S$6,"M")</f>
        <v>107</v>
      </c>
    </row>
    <row r="97" spans="1:11" x14ac:dyDescent="0.3">
      <c r="A97" t="s">
        <v>210</v>
      </c>
      <c r="B97" t="s">
        <v>20</v>
      </c>
      <c r="C97" t="s">
        <v>15</v>
      </c>
      <c r="D97" t="s">
        <v>16</v>
      </c>
      <c r="E97">
        <v>42096</v>
      </c>
      <c r="F97" s="3">
        <v>42722</v>
      </c>
      <c r="G97" t="s">
        <v>309</v>
      </c>
      <c r="H97">
        <v>0</v>
      </c>
      <c r="I97" t="s">
        <v>34</v>
      </c>
      <c r="J97" t="s">
        <v>211</v>
      </c>
      <c r="K97">
        <f ca="1">DATEDIF(Sheet1__2[[#This Row],[Date of Joining]],$S$6,"M")</f>
        <v>106</v>
      </c>
    </row>
    <row r="98" spans="1:11" x14ac:dyDescent="0.3">
      <c r="A98" t="s">
        <v>212</v>
      </c>
      <c r="B98" t="s">
        <v>20</v>
      </c>
      <c r="C98" t="s">
        <v>40</v>
      </c>
      <c r="D98" t="s">
        <v>33</v>
      </c>
      <c r="E98">
        <v>79145</v>
      </c>
      <c r="F98" s="3">
        <v>42729</v>
      </c>
      <c r="G98" t="s">
        <v>309</v>
      </c>
      <c r="H98">
        <v>5</v>
      </c>
      <c r="I98" t="s">
        <v>17</v>
      </c>
      <c r="J98" t="s">
        <v>116</v>
      </c>
      <c r="K98">
        <f ca="1">DATEDIF(Sheet1__2[[#This Row],[Date of Joining]],$S$6,"M")</f>
        <v>106</v>
      </c>
    </row>
    <row r="99" spans="1:11" x14ac:dyDescent="0.3">
      <c r="A99" t="s">
        <v>213</v>
      </c>
      <c r="B99" t="s">
        <v>29</v>
      </c>
      <c r="C99" t="s">
        <v>11</v>
      </c>
      <c r="D99" t="s">
        <v>62</v>
      </c>
      <c r="E99">
        <v>61556</v>
      </c>
      <c r="F99" s="3">
        <v>42736</v>
      </c>
      <c r="G99" t="s">
        <v>302</v>
      </c>
      <c r="H99">
        <v>1</v>
      </c>
      <c r="I99" t="s">
        <v>11</v>
      </c>
      <c r="J99" t="s">
        <v>208</v>
      </c>
      <c r="K99">
        <f ca="1">DATEDIF(Sheet1__2[[#This Row],[Date of Joining]],$S$6,"M")</f>
        <v>106</v>
      </c>
    </row>
    <row r="100" spans="1:11" x14ac:dyDescent="0.3">
      <c r="A100" t="s">
        <v>214</v>
      </c>
      <c r="B100" t="s">
        <v>310</v>
      </c>
      <c r="C100" t="s">
        <v>15</v>
      </c>
      <c r="D100" t="s">
        <v>45</v>
      </c>
      <c r="E100">
        <v>87963</v>
      </c>
      <c r="F100" s="3">
        <v>42743</v>
      </c>
      <c r="G100" t="s">
        <v>309</v>
      </c>
      <c r="H100">
        <v>3</v>
      </c>
      <c r="I100" t="s">
        <v>17</v>
      </c>
      <c r="J100" t="s">
        <v>12</v>
      </c>
      <c r="K100">
        <f ca="1">DATEDIF(Sheet1__2[[#This Row],[Date of Joining]],$S$6,"M")</f>
        <v>106</v>
      </c>
    </row>
    <row r="101" spans="1:11" x14ac:dyDescent="0.3">
      <c r="A101" t="s">
        <v>215</v>
      </c>
      <c r="B101" t="s">
        <v>14</v>
      </c>
      <c r="C101" t="s">
        <v>32</v>
      </c>
      <c r="D101" t="s">
        <v>33</v>
      </c>
      <c r="E101">
        <v>48325</v>
      </c>
      <c r="F101" s="3">
        <v>42750</v>
      </c>
      <c r="G101" t="s">
        <v>309</v>
      </c>
      <c r="H101">
        <v>0</v>
      </c>
      <c r="I101" t="s">
        <v>26</v>
      </c>
      <c r="J101" t="s">
        <v>216</v>
      </c>
      <c r="K101">
        <f ca="1">DATEDIF(Sheet1__2[[#This Row],[Date of Joining]],$S$6,"M")</f>
        <v>106</v>
      </c>
    </row>
    <row r="102" spans="1:11" x14ac:dyDescent="0.3">
      <c r="A102" t="s">
        <v>217</v>
      </c>
      <c r="B102" t="s">
        <v>37</v>
      </c>
      <c r="C102" t="s">
        <v>40</v>
      </c>
      <c r="D102" t="s">
        <v>62</v>
      </c>
      <c r="E102">
        <v>86412</v>
      </c>
      <c r="F102" s="3">
        <v>42757</v>
      </c>
      <c r="G102" t="s">
        <v>309</v>
      </c>
      <c r="H102">
        <v>2</v>
      </c>
      <c r="I102" t="s">
        <v>34</v>
      </c>
      <c r="J102" t="s">
        <v>73</v>
      </c>
      <c r="K102">
        <f ca="1">DATEDIF(Sheet1__2[[#This Row],[Date of Joining]],$S$6,"M")</f>
        <v>105</v>
      </c>
    </row>
    <row r="103" spans="1:11" x14ac:dyDescent="0.3">
      <c r="A103" t="s">
        <v>218</v>
      </c>
      <c r="B103" t="s">
        <v>37</v>
      </c>
      <c r="C103" t="s">
        <v>15</v>
      </c>
      <c r="D103" t="s">
        <v>33</v>
      </c>
      <c r="E103">
        <v>66761</v>
      </c>
      <c r="F103" s="3">
        <v>42764</v>
      </c>
      <c r="G103" t="s">
        <v>309</v>
      </c>
      <c r="H103">
        <v>1</v>
      </c>
      <c r="I103" t="s">
        <v>11</v>
      </c>
      <c r="J103" t="s">
        <v>219</v>
      </c>
      <c r="K103">
        <f ca="1">DATEDIF(Sheet1__2[[#This Row],[Date of Joining]],$S$6,"M")</f>
        <v>105</v>
      </c>
    </row>
    <row r="104" spans="1:11" x14ac:dyDescent="0.3">
      <c r="A104" t="s">
        <v>220</v>
      </c>
      <c r="B104" t="s">
        <v>29</v>
      </c>
      <c r="C104" t="s">
        <v>11</v>
      </c>
      <c r="D104" t="s">
        <v>33</v>
      </c>
      <c r="E104">
        <v>88850</v>
      </c>
      <c r="F104" s="3">
        <v>42771</v>
      </c>
      <c r="G104" t="s">
        <v>309</v>
      </c>
      <c r="H104">
        <v>1</v>
      </c>
      <c r="I104" t="s">
        <v>34</v>
      </c>
      <c r="J104" t="s">
        <v>221</v>
      </c>
      <c r="K104">
        <f ca="1">DATEDIF(Sheet1__2[[#This Row],[Date of Joining]],$S$6,"M")</f>
        <v>105</v>
      </c>
    </row>
    <row r="105" spans="1:11" x14ac:dyDescent="0.3">
      <c r="A105" t="s">
        <v>224</v>
      </c>
      <c r="B105" t="s">
        <v>39</v>
      </c>
      <c r="C105" t="s">
        <v>32</v>
      </c>
      <c r="D105" t="s">
        <v>25</v>
      </c>
      <c r="E105">
        <v>34306</v>
      </c>
      <c r="F105" s="3">
        <v>42785</v>
      </c>
      <c r="G105" t="s">
        <v>309</v>
      </c>
      <c r="H105">
        <v>5</v>
      </c>
      <c r="I105" t="s">
        <v>34</v>
      </c>
      <c r="J105" t="s">
        <v>155</v>
      </c>
      <c r="K105">
        <f ca="1">DATEDIF(Sheet1__2[[#This Row],[Date of Joining]],$S$6,"M")</f>
        <v>104</v>
      </c>
    </row>
    <row r="106" spans="1:11" x14ac:dyDescent="0.3">
      <c r="A106" t="s">
        <v>225</v>
      </c>
      <c r="B106" t="s">
        <v>14</v>
      </c>
      <c r="C106" t="s">
        <v>9</v>
      </c>
      <c r="D106" t="s">
        <v>33</v>
      </c>
      <c r="E106">
        <v>78330</v>
      </c>
      <c r="F106" s="3">
        <v>42792</v>
      </c>
      <c r="G106" t="s">
        <v>302</v>
      </c>
      <c r="H106">
        <v>0</v>
      </c>
      <c r="I106" t="s">
        <v>17</v>
      </c>
      <c r="J106" t="s">
        <v>206</v>
      </c>
      <c r="K106">
        <f ca="1">DATEDIF(Sheet1__2[[#This Row],[Date of Joining]],$S$6,"M")</f>
        <v>104</v>
      </c>
    </row>
    <row r="107" spans="1:11" x14ac:dyDescent="0.3">
      <c r="A107" t="s">
        <v>226</v>
      </c>
      <c r="B107" t="s">
        <v>20</v>
      </c>
      <c r="C107" t="s">
        <v>32</v>
      </c>
      <c r="D107" t="s">
        <v>25</v>
      </c>
      <c r="E107">
        <v>47653</v>
      </c>
      <c r="F107" s="3">
        <v>42799</v>
      </c>
      <c r="G107" t="s">
        <v>309</v>
      </c>
      <c r="H107">
        <v>1</v>
      </c>
      <c r="I107" t="s">
        <v>26</v>
      </c>
      <c r="J107" t="s">
        <v>227</v>
      </c>
      <c r="K107">
        <f ca="1">DATEDIF(Sheet1__2[[#This Row],[Date of Joining]],$S$6,"M")</f>
        <v>104</v>
      </c>
    </row>
    <row r="108" spans="1:11" x14ac:dyDescent="0.3">
      <c r="A108" t="s">
        <v>228</v>
      </c>
      <c r="B108" t="s">
        <v>14</v>
      </c>
      <c r="C108" t="s">
        <v>40</v>
      </c>
      <c r="D108" t="s">
        <v>45</v>
      </c>
      <c r="E108">
        <v>44627</v>
      </c>
      <c r="F108" s="3">
        <v>42806</v>
      </c>
      <c r="G108" t="s">
        <v>309</v>
      </c>
      <c r="H108">
        <v>4</v>
      </c>
      <c r="I108" t="s">
        <v>11</v>
      </c>
      <c r="J108" t="s">
        <v>147</v>
      </c>
      <c r="K108">
        <f ca="1">DATEDIF(Sheet1__2[[#This Row],[Date of Joining]],$S$6,"M")</f>
        <v>104</v>
      </c>
    </row>
    <row r="109" spans="1:11" x14ac:dyDescent="0.3">
      <c r="A109" t="s">
        <v>229</v>
      </c>
      <c r="B109" t="s">
        <v>52</v>
      </c>
      <c r="C109" t="s">
        <v>15</v>
      </c>
      <c r="D109" t="s">
        <v>16</v>
      </c>
      <c r="E109">
        <v>92343</v>
      </c>
      <c r="F109" s="3">
        <v>42813</v>
      </c>
      <c r="G109" t="s">
        <v>302</v>
      </c>
      <c r="H109">
        <v>4</v>
      </c>
      <c r="I109" t="s">
        <v>34</v>
      </c>
      <c r="J109" t="s">
        <v>75</v>
      </c>
      <c r="K109">
        <f ca="1">DATEDIF(Sheet1__2[[#This Row],[Date of Joining]],$S$6,"M")</f>
        <v>103</v>
      </c>
    </row>
    <row r="110" spans="1:11" x14ac:dyDescent="0.3">
      <c r="A110" t="s">
        <v>230</v>
      </c>
      <c r="B110" t="s">
        <v>52</v>
      </c>
      <c r="C110" t="s">
        <v>40</v>
      </c>
      <c r="D110" t="s">
        <v>62</v>
      </c>
      <c r="E110">
        <v>38837</v>
      </c>
      <c r="F110" s="3">
        <v>42820</v>
      </c>
      <c r="G110" t="s">
        <v>302</v>
      </c>
      <c r="H110">
        <v>5</v>
      </c>
      <c r="I110" t="s">
        <v>34</v>
      </c>
      <c r="J110" t="s">
        <v>155</v>
      </c>
      <c r="K110">
        <f ca="1">DATEDIF(Sheet1__2[[#This Row],[Date of Joining]],$S$6,"M")</f>
        <v>103</v>
      </c>
    </row>
    <row r="111" spans="1:11" x14ac:dyDescent="0.3">
      <c r="A111" t="s">
        <v>231</v>
      </c>
      <c r="B111" t="s">
        <v>52</v>
      </c>
      <c r="C111" t="s">
        <v>40</v>
      </c>
      <c r="D111" t="s">
        <v>33</v>
      </c>
      <c r="E111">
        <v>73483</v>
      </c>
      <c r="F111" s="3">
        <v>42827</v>
      </c>
      <c r="G111" t="s">
        <v>302</v>
      </c>
      <c r="H111">
        <v>1</v>
      </c>
      <c r="I111" t="s">
        <v>11</v>
      </c>
      <c r="J111" t="s">
        <v>232</v>
      </c>
      <c r="K111">
        <f ca="1">DATEDIF(Sheet1__2[[#This Row],[Date of Joining]],$S$6,"M")</f>
        <v>103</v>
      </c>
    </row>
    <row r="112" spans="1:11" x14ac:dyDescent="0.3">
      <c r="A112" t="s">
        <v>233</v>
      </c>
      <c r="B112" t="s">
        <v>39</v>
      </c>
      <c r="C112" t="s">
        <v>24</v>
      </c>
      <c r="D112" t="s">
        <v>33</v>
      </c>
      <c r="E112">
        <v>95032</v>
      </c>
      <c r="F112" s="3">
        <v>42834</v>
      </c>
      <c r="G112" t="s">
        <v>309</v>
      </c>
      <c r="H112">
        <v>3</v>
      </c>
      <c r="I112" t="s">
        <v>11</v>
      </c>
      <c r="J112" t="s">
        <v>234</v>
      </c>
      <c r="K112">
        <f ca="1">DATEDIF(Sheet1__2[[#This Row],[Date of Joining]],$S$6,"M")</f>
        <v>103</v>
      </c>
    </row>
    <row r="113" spans="1:11" x14ac:dyDescent="0.3">
      <c r="A113" t="s">
        <v>235</v>
      </c>
      <c r="B113" t="s">
        <v>14</v>
      </c>
      <c r="C113" t="s">
        <v>24</v>
      </c>
      <c r="D113" t="s">
        <v>62</v>
      </c>
      <c r="E113">
        <v>44358</v>
      </c>
      <c r="F113" s="3">
        <v>42841</v>
      </c>
      <c r="G113" t="s">
        <v>309</v>
      </c>
      <c r="H113">
        <v>0</v>
      </c>
      <c r="I113" t="s">
        <v>34</v>
      </c>
      <c r="J113" t="s">
        <v>69</v>
      </c>
      <c r="K113">
        <f ca="1">DATEDIF(Sheet1__2[[#This Row],[Date of Joining]],$S$6,"M")</f>
        <v>103</v>
      </c>
    </row>
    <row r="114" spans="1:11" x14ac:dyDescent="0.3">
      <c r="A114" t="s">
        <v>238</v>
      </c>
      <c r="B114" t="s">
        <v>39</v>
      </c>
      <c r="C114" t="s">
        <v>24</v>
      </c>
      <c r="D114" t="s">
        <v>25</v>
      </c>
      <c r="E114">
        <v>45676</v>
      </c>
      <c r="F114" s="3">
        <v>42855</v>
      </c>
      <c r="G114" t="s">
        <v>302</v>
      </c>
      <c r="H114">
        <v>2</v>
      </c>
      <c r="I114" t="s">
        <v>11</v>
      </c>
      <c r="J114" t="s">
        <v>239</v>
      </c>
      <c r="K114">
        <f ca="1">DATEDIF(Sheet1__2[[#This Row],[Date of Joining]],$S$6,"M")</f>
        <v>102</v>
      </c>
    </row>
    <row r="115" spans="1:11" x14ac:dyDescent="0.3">
      <c r="A115" t="s">
        <v>240</v>
      </c>
      <c r="B115" t="s">
        <v>52</v>
      </c>
      <c r="C115" t="s">
        <v>24</v>
      </c>
      <c r="D115" t="s">
        <v>16</v>
      </c>
      <c r="E115">
        <v>52036</v>
      </c>
      <c r="F115" s="3">
        <v>42862</v>
      </c>
      <c r="G115" t="s">
        <v>309</v>
      </c>
      <c r="H115">
        <v>3</v>
      </c>
      <c r="I115" t="s">
        <v>26</v>
      </c>
      <c r="J115" t="s">
        <v>241</v>
      </c>
      <c r="K115">
        <f ca="1">DATEDIF(Sheet1__2[[#This Row],[Date of Joining]],$S$6,"M")</f>
        <v>102</v>
      </c>
    </row>
    <row r="116" spans="1:11" x14ac:dyDescent="0.3">
      <c r="A116" t="s">
        <v>242</v>
      </c>
      <c r="B116" t="s">
        <v>29</v>
      </c>
      <c r="C116" t="s">
        <v>11</v>
      </c>
      <c r="D116" t="s">
        <v>16</v>
      </c>
      <c r="E116">
        <v>30357</v>
      </c>
      <c r="F116" s="3">
        <v>42869</v>
      </c>
      <c r="G116" t="s">
        <v>309</v>
      </c>
      <c r="H116">
        <v>5</v>
      </c>
      <c r="I116" t="s">
        <v>26</v>
      </c>
      <c r="J116" t="s">
        <v>180</v>
      </c>
      <c r="K116">
        <f ca="1">DATEDIF(Sheet1__2[[#This Row],[Date of Joining]],$S$6,"M")</f>
        <v>102</v>
      </c>
    </row>
    <row r="117" spans="1:11" x14ac:dyDescent="0.3">
      <c r="A117" t="s">
        <v>243</v>
      </c>
      <c r="B117" t="s">
        <v>23</v>
      </c>
      <c r="C117" t="s">
        <v>32</v>
      </c>
      <c r="D117" t="s">
        <v>33</v>
      </c>
      <c r="E117">
        <v>60034</v>
      </c>
      <c r="F117" s="3">
        <v>42876</v>
      </c>
      <c r="G117" t="s">
        <v>302</v>
      </c>
      <c r="H117">
        <v>1</v>
      </c>
      <c r="I117" t="s">
        <v>34</v>
      </c>
      <c r="J117" t="s">
        <v>244</v>
      </c>
      <c r="K117">
        <f ca="1">DATEDIF(Sheet1__2[[#This Row],[Date of Joining]],$S$6,"M")</f>
        <v>101</v>
      </c>
    </row>
    <row r="118" spans="1:11" x14ac:dyDescent="0.3">
      <c r="A118" t="s">
        <v>245</v>
      </c>
      <c r="B118" t="s">
        <v>23</v>
      </c>
      <c r="C118" t="s">
        <v>9</v>
      </c>
      <c r="D118" t="s">
        <v>33</v>
      </c>
      <c r="E118">
        <v>90019</v>
      </c>
      <c r="F118" s="3">
        <v>42883</v>
      </c>
      <c r="G118" t="s">
        <v>309</v>
      </c>
      <c r="H118">
        <v>5</v>
      </c>
      <c r="I118" t="s">
        <v>11</v>
      </c>
      <c r="J118" t="s">
        <v>246</v>
      </c>
      <c r="K118">
        <f ca="1">DATEDIF(Sheet1__2[[#This Row],[Date of Joining]],$S$6,"M")</f>
        <v>101</v>
      </c>
    </row>
    <row r="119" spans="1:11" x14ac:dyDescent="0.3">
      <c r="A119" t="s">
        <v>247</v>
      </c>
      <c r="B119" t="s">
        <v>52</v>
      </c>
      <c r="C119" t="s">
        <v>11</v>
      </c>
      <c r="D119" t="s">
        <v>16</v>
      </c>
      <c r="E119">
        <v>71494</v>
      </c>
      <c r="F119" s="3">
        <v>42890</v>
      </c>
      <c r="G119" t="s">
        <v>302</v>
      </c>
      <c r="H119">
        <v>3</v>
      </c>
      <c r="I119" t="s">
        <v>26</v>
      </c>
      <c r="J119" t="s">
        <v>248</v>
      </c>
      <c r="K119">
        <f ca="1">DATEDIF(Sheet1__2[[#This Row],[Date of Joining]],$S$6,"M")</f>
        <v>101</v>
      </c>
    </row>
    <row r="120" spans="1:11" x14ac:dyDescent="0.3">
      <c r="A120" t="s">
        <v>249</v>
      </c>
      <c r="B120" t="s">
        <v>23</v>
      </c>
      <c r="C120" t="s">
        <v>9</v>
      </c>
      <c r="D120" t="s">
        <v>25</v>
      </c>
      <c r="E120">
        <v>91953</v>
      </c>
      <c r="F120" s="3">
        <v>42897</v>
      </c>
      <c r="G120" t="s">
        <v>309</v>
      </c>
      <c r="H120">
        <v>2</v>
      </c>
      <c r="I120" t="s">
        <v>26</v>
      </c>
      <c r="J120" t="s">
        <v>87</v>
      </c>
      <c r="K120">
        <f ca="1">DATEDIF(Sheet1__2[[#This Row],[Date of Joining]],$S$6,"M")</f>
        <v>101</v>
      </c>
    </row>
    <row r="121" spans="1:11" x14ac:dyDescent="0.3">
      <c r="A121" t="s">
        <v>250</v>
      </c>
      <c r="B121" t="s">
        <v>39</v>
      </c>
      <c r="C121" t="s">
        <v>24</v>
      </c>
      <c r="D121" t="s">
        <v>25</v>
      </c>
      <c r="E121">
        <v>30402</v>
      </c>
      <c r="F121" s="3">
        <v>42904</v>
      </c>
      <c r="G121" t="s">
        <v>309</v>
      </c>
      <c r="H121">
        <v>1</v>
      </c>
      <c r="I121" t="s">
        <v>11</v>
      </c>
      <c r="J121" t="s">
        <v>251</v>
      </c>
      <c r="K121">
        <f ca="1">DATEDIF(Sheet1__2[[#This Row],[Date of Joining]],$S$6,"M")</f>
        <v>100</v>
      </c>
    </row>
    <row r="122" spans="1:11" x14ac:dyDescent="0.3">
      <c r="A122" t="s">
        <v>252</v>
      </c>
      <c r="B122" t="s">
        <v>52</v>
      </c>
      <c r="C122" t="s">
        <v>11</v>
      </c>
      <c r="D122" t="s">
        <v>45</v>
      </c>
      <c r="E122">
        <v>62994</v>
      </c>
      <c r="F122" s="3">
        <v>42911</v>
      </c>
      <c r="G122" t="s">
        <v>309</v>
      </c>
      <c r="H122">
        <v>0</v>
      </c>
      <c r="I122" t="s">
        <v>11</v>
      </c>
      <c r="J122" t="s">
        <v>112</v>
      </c>
      <c r="K122">
        <f ca="1">DATEDIF(Sheet1__2[[#This Row],[Date of Joining]],$S$6,"M")</f>
        <v>100</v>
      </c>
    </row>
    <row r="123" spans="1:11" x14ac:dyDescent="0.3">
      <c r="A123" t="s">
        <v>254</v>
      </c>
      <c r="B123" t="s">
        <v>37</v>
      </c>
      <c r="C123" t="s">
        <v>40</v>
      </c>
      <c r="D123" t="s">
        <v>16</v>
      </c>
      <c r="E123">
        <v>34402</v>
      </c>
      <c r="F123" s="3">
        <v>42925</v>
      </c>
      <c r="G123" t="s">
        <v>309</v>
      </c>
      <c r="H123">
        <v>3</v>
      </c>
      <c r="I123" t="s">
        <v>17</v>
      </c>
      <c r="J123" t="s">
        <v>106</v>
      </c>
      <c r="K123">
        <f ca="1">DATEDIF(Sheet1__2[[#This Row],[Date of Joining]],$S$6,"M")</f>
        <v>100</v>
      </c>
    </row>
    <row r="124" spans="1:11" x14ac:dyDescent="0.3">
      <c r="A124" t="s">
        <v>255</v>
      </c>
      <c r="B124" t="s">
        <v>14</v>
      </c>
      <c r="C124" t="s">
        <v>15</v>
      </c>
      <c r="D124" t="s">
        <v>25</v>
      </c>
      <c r="E124">
        <v>38678</v>
      </c>
      <c r="F124" s="3">
        <v>42932</v>
      </c>
      <c r="G124" t="s">
        <v>309</v>
      </c>
      <c r="H124">
        <v>3</v>
      </c>
      <c r="I124" t="s">
        <v>17</v>
      </c>
      <c r="J124" t="s">
        <v>256</v>
      </c>
      <c r="K124">
        <f ca="1">DATEDIF(Sheet1__2[[#This Row],[Date of Joining]],$S$6,"M")</f>
        <v>100</v>
      </c>
    </row>
    <row r="125" spans="1:11" x14ac:dyDescent="0.3">
      <c r="A125" t="s">
        <v>257</v>
      </c>
      <c r="B125" t="s">
        <v>39</v>
      </c>
      <c r="C125" t="s">
        <v>15</v>
      </c>
      <c r="D125" t="s">
        <v>16</v>
      </c>
      <c r="E125">
        <v>45758</v>
      </c>
      <c r="F125" s="3">
        <v>42939</v>
      </c>
      <c r="G125" t="s">
        <v>309</v>
      </c>
      <c r="H125">
        <v>3</v>
      </c>
      <c r="I125" t="s">
        <v>11</v>
      </c>
      <c r="J125" t="s">
        <v>223</v>
      </c>
      <c r="K125">
        <f ca="1">DATEDIF(Sheet1__2[[#This Row],[Date of Joining]],$S$6,"M")</f>
        <v>99</v>
      </c>
    </row>
    <row r="126" spans="1:11" x14ac:dyDescent="0.3">
      <c r="A126" t="s">
        <v>258</v>
      </c>
      <c r="B126" t="s">
        <v>14</v>
      </c>
      <c r="C126" t="s">
        <v>40</v>
      </c>
      <c r="D126" t="s">
        <v>33</v>
      </c>
      <c r="E126">
        <v>62476</v>
      </c>
      <c r="F126" s="3">
        <v>42946</v>
      </c>
      <c r="G126" t="s">
        <v>309</v>
      </c>
      <c r="H126">
        <v>1</v>
      </c>
      <c r="I126" t="s">
        <v>17</v>
      </c>
      <c r="J126" t="s">
        <v>136</v>
      </c>
      <c r="K126">
        <f ca="1">DATEDIF(Sheet1__2[[#This Row],[Date of Joining]],$S$6,"M")</f>
        <v>99</v>
      </c>
    </row>
    <row r="127" spans="1:11" x14ac:dyDescent="0.3">
      <c r="A127" t="s">
        <v>259</v>
      </c>
      <c r="B127" t="s">
        <v>310</v>
      </c>
      <c r="C127" t="s">
        <v>32</v>
      </c>
      <c r="D127" t="s">
        <v>45</v>
      </c>
      <c r="E127">
        <v>39280</v>
      </c>
      <c r="F127" s="3">
        <v>42953</v>
      </c>
      <c r="G127" t="s">
        <v>309</v>
      </c>
      <c r="H127">
        <v>3</v>
      </c>
      <c r="I127" t="s">
        <v>34</v>
      </c>
      <c r="J127" t="s">
        <v>97</v>
      </c>
      <c r="K127">
        <f ca="1">DATEDIF(Sheet1__2[[#This Row],[Date of Joining]],$S$6,"M")</f>
        <v>99</v>
      </c>
    </row>
    <row r="128" spans="1:11" x14ac:dyDescent="0.3">
      <c r="A128" t="s">
        <v>260</v>
      </c>
      <c r="B128" t="s">
        <v>29</v>
      </c>
      <c r="C128" t="s">
        <v>9</v>
      </c>
      <c r="D128" t="s">
        <v>33</v>
      </c>
      <c r="E128">
        <v>60335</v>
      </c>
      <c r="F128" s="3">
        <v>42960</v>
      </c>
      <c r="G128" t="s">
        <v>309</v>
      </c>
      <c r="H128">
        <v>4</v>
      </c>
      <c r="I128" t="s">
        <v>17</v>
      </c>
      <c r="J128" t="s">
        <v>127</v>
      </c>
      <c r="K128">
        <f ca="1">DATEDIF(Sheet1__2[[#This Row],[Date of Joining]],$S$6,"M")</f>
        <v>99</v>
      </c>
    </row>
    <row r="129" spans="1:11" x14ac:dyDescent="0.3">
      <c r="A129" t="s">
        <v>261</v>
      </c>
      <c r="B129" t="s">
        <v>39</v>
      </c>
      <c r="C129" t="s">
        <v>15</v>
      </c>
      <c r="D129" t="s">
        <v>16</v>
      </c>
      <c r="E129">
        <v>84968</v>
      </c>
      <c r="F129" s="3">
        <v>42967</v>
      </c>
      <c r="G129" t="s">
        <v>302</v>
      </c>
      <c r="H129">
        <v>0</v>
      </c>
      <c r="I129" t="s">
        <v>11</v>
      </c>
      <c r="J129" t="s">
        <v>262</v>
      </c>
      <c r="K129">
        <f ca="1">DATEDIF(Sheet1__2[[#This Row],[Date of Joining]],$S$6,"M")</f>
        <v>98</v>
      </c>
    </row>
    <row r="130" spans="1:11" x14ac:dyDescent="0.3">
      <c r="A130" t="s">
        <v>263</v>
      </c>
      <c r="B130" t="s">
        <v>39</v>
      </c>
      <c r="C130" t="s">
        <v>40</v>
      </c>
      <c r="D130" t="s">
        <v>62</v>
      </c>
      <c r="E130">
        <v>84750</v>
      </c>
      <c r="F130" s="3">
        <v>42974</v>
      </c>
      <c r="G130" t="s">
        <v>309</v>
      </c>
      <c r="H130">
        <v>4</v>
      </c>
      <c r="I130" t="s">
        <v>34</v>
      </c>
      <c r="J130" t="s">
        <v>58</v>
      </c>
      <c r="K130">
        <f ca="1">DATEDIF(Sheet1__2[[#This Row],[Date of Joining]],$S$6,"M")</f>
        <v>98</v>
      </c>
    </row>
    <row r="131" spans="1:11" x14ac:dyDescent="0.3">
      <c r="A131" t="s">
        <v>264</v>
      </c>
      <c r="B131" t="s">
        <v>52</v>
      </c>
      <c r="C131" t="s">
        <v>32</v>
      </c>
      <c r="D131" t="s">
        <v>33</v>
      </c>
      <c r="E131">
        <v>73348</v>
      </c>
      <c r="F131" s="3">
        <v>42981</v>
      </c>
      <c r="G131" t="s">
        <v>302</v>
      </c>
      <c r="H131">
        <v>2</v>
      </c>
      <c r="I131" t="s">
        <v>11</v>
      </c>
      <c r="J131" t="s">
        <v>169</v>
      </c>
      <c r="K131">
        <f ca="1">DATEDIF(Sheet1__2[[#This Row],[Date of Joining]],$S$6,"M")</f>
        <v>98</v>
      </c>
    </row>
    <row r="132" spans="1:11" x14ac:dyDescent="0.3">
      <c r="A132" t="s">
        <v>266</v>
      </c>
      <c r="B132" t="s">
        <v>29</v>
      </c>
      <c r="C132" t="s">
        <v>40</v>
      </c>
      <c r="D132" t="s">
        <v>25</v>
      </c>
      <c r="E132">
        <v>66882</v>
      </c>
      <c r="F132" s="3">
        <v>42995</v>
      </c>
      <c r="G132" t="s">
        <v>302</v>
      </c>
      <c r="H132">
        <v>5</v>
      </c>
      <c r="I132" t="s">
        <v>17</v>
      </c>
      <c r="J132" t="s">
        <v>83</v>
      </c>
      <c r="K132">
        <f ca="1">DATEDIF(Sheet1__2[[#This Row],[Date of Joining]],$S$6,"M")</f>
        <v>97</v>
      </c>
    </row>
    <row r="133" spans="1:11" x14ac:dyDescent="0.3">
      <c r="A133" t="s">
        <v>267</v>
      </c>
      <c r="B133" t="s">
        <v>20</v>
      </c>
      <c r="C133" t="s">
        <v>40</v>
      </c>
      <c r="D133" t="s">
        <v>33</v>
      </c>
      <c r="E133">
        <v>86775</v>
      </c>
      <c r="F133" s="3">
        <v>43002</v>
      </c>
      <c r="G133" t="s">
        <v>302</v>
      </c>
      <c r="H133">
        <v>3</v>
      </c>
      <c r="I133" t="s">
        <v>17</v>
      </c>
      <c r="J133" t="s">
        <v>93</v>
      </c>
      <c r="K133">
        <f ca="1">DATEDIF(Sheet1__2[[#This Row],[Date of Joining]],$S$6,"M")</f>
        <v>97</v>
      </c>
    </row>
    <row r="134" spans="1:11" x14ac:dyDescent="0.3">
      <c r="A134" t="s">
        <v>268</v>
      </c>
      <c r="B134" t="s">
        <v>39</v>
      </c>
      <c r="C134" t="s">
        <v>24</v>
      </c>
      <c r="D134" t="s">
        <v>45</v>
      </c>
      <c r="E134">
        <v>91620</v>
      </c>
      <c r="F134" s="3">
        <v>43009</v>
      </c>
      <c r="G134" t="s">
        <v>309</v>
      </c>
      <c r="H134">
        <v>0</v>
      </c>
      <c r="I134" t="s">
        <v>11</v>
      </c>
      <c r="J134" t="s">
        <v>269</v>
      </c>
      <c r="K134">
        <f ca="1">DATEDIF(Sheet1__2[[#This Row],[Date of Joining]],$S$6,"M")</f>
        <v>97</v>
      </c>
    </row>
    <row r="135" spans="1:11" x14ac:dyDescent="0.3">
      <c r="A135" t="s">
        <v>270</v>
      </c>
      <c r="B135" t="s">
        <v>14</v>
      </c>
      <c r="C135" t="s">
        <v>11</v>
      </c>
      <c r="D135" t="s">
        <v>33</v>
      </c>
      <c r="E135">
        <v>94148</v>
      </c>
      <c r="F135" s="3">
        <v>43016</v>
      </c>
      <c r="G135" t="s">
        <v>309</v>
      </c>
      <c r="H135">
        <v>2</v>
      </c>
      <c r="I135" t="s">
        <v>11</v>
      </c>
      <c r="J135" t="s">
        <v>271</v>
      </c>
      <c r="K135">
        <f ca="1">DATEDIF(Sheet1__2[[#This Row],[Date of Joining]],$S$6,"M")</f>
        <v>97</v>
      </c>
    </row>
    <row r="136" spans="1:11" x14ac:dyDescent="0.3">
      <c r="A136" t="s">
        <v>272</v>
      </c>
      <c r="B136" t="s">
        <v>37</v>
      </c>
      <c r="C136" t="s">
        <v>24</v>
      </c>
      <c r="D136" t="s">
        <v>62</v>
      </c>
      <c r="E136">
        <v>35627</v>
      </c>
      <c r="F136" s="3">
        <v>43023</v>
      </c>
      <c r="G136" t="s">
        <v>309</v>
      </c>
      <c r="H136">
        <v>5</v>
      </c>
      <c r="I136" t="s">
        <v>34</v>
      </c>
      <c r="J136" t="s">
        <v>256</v>
      </c>
      <c r="K136">
        <f ca="1">DATEDIF(Sheet1__2[[#This Row],[Date of Joining]],$S$6,"M")</f>
        <v>97</v>
      </c>
    </row>
    <row r="137" spans="1:11" x14ac:dyDescent="0.3">
      <c r="A137" t="s">
        <v>273</v>
      </c>
      <c r="B137" t="s">
        <v>23</v>
      </c>
      <c r="C137" t="s">
        <v>40</v>
      </c>
      <c r="D137" t="s">
        <v>25</v>
      </c>
      <c r="E137">
        <v>57141</v>
      </c>
      <c r="F137" s="3">
        <v>43030</v>
      </c>
      <c r="G137" t="s">
        <v>302</v>
      </c>
      <c r="H137">
        <v>2</v>
      </c>
      <c r="I137" t="s">
        <v>11</v>
      </c>
      <c r="J137" t="s">
        <v>262</v>
      </c>
      <c r="K137">
        <f ca="1">DATEDIF(Sheet1__2[[#This Row],[Date of Joining]],$S$6,"M")</f>
        <v>96</v>
      </c>
    </row>
    <row r="138" spans="1:11" x14ac:dyDescent="0.3">
      <c r="A138" t="s">
        <v>274</v>
      </c>
      <c r="B138" t="s">
        <v>52</v>
      </c>
      <c r="C138" t="s">
        <v>24</v>
      </c>
      <c r="D138" t="s">
        <v>62</v>
      </c>
      <c r="E138">
        <v>65270</v>
      </c>
      <c r="F138" s="3">
        <v>43037</v>
      </c>
      <c r="G138" t="s">
        <v>309</v>
      </c>
      <c r="H138">
        <v>1</v>
      </c>
      <c r="I138" t="s">
        <v>11</v>
      </c>
      <c r="J138" t="s">
        <v>275</v>
      </c>
      <c r="K138">
        <f ca="1">DATEDIF(Sheet1__2[[#This Row],[Date of Joining]],$S$6,"M")</f>
        <v>96</v>
      </c>
    </row>
    <row r="139" spans="1:11" x14ac:dyDescent="0.3">
      <c r="A139" t="s">
        <v>276</v>
      </c>
      <c r="B139" t="s">
        <v>52</v>
      </c>
      <c r="C139" t="s">
        <v>11</v>
      </c>
      <c r="D139" t="s">
        <v>45</v>
      </c>
      <c r="E139">
        <v>67335</v>
      </c>
      <c r="F139" s="3">
        <v>43044</v>
      </c>
      <c r="G139" t="s">
        <v>309</v>
      </c>
      <c r="H139">
        <v>1</v>
      </c>
      <c r="I139" t="s">
        <v>17</v>
      </c>
      <c r="J139" t="s">
        <v>142</v>
      </c>
      <c r="K139">
        <f ca="1">DATEDIF(Sheet1__2[[#This Row],[Date of Joining]],$S$6,"M")</f>
        <v>96</v>
      </c>
    </row>
    <row r="140" spans="1:11" x14ac:dyDescent="0.3">
      <c r="A140" t="s">
        <v>277</v>
      </c>
      <c r="B140" t="s">
        <v>37</v>
      </c>
      <c r="C140" t="s">
        <v>40</v>
      </c>
      <c r="D140" t="s">
        <v>33</v>
      </c>
      <c r="E140">
        <v>98475</v>
      </c>
      <c r="F140" s="3">
        <v>43051</v>
      </c>
      <c r="G140" t="s">
        <v>309</v>
      </c>
      <c r="H140">
        <v>5</v>
      </c>
      <c r="I140" t="s">
        <v>17</v>
      </c>
      <c r="J140" t="s">
        <v>278</v>
      </c>
      <c r="K140">
        <f ca="1">DATEDIF(Sheet1__2[[#This Row],[Date of Joining]],$S$6,"M")</f>
        <v>96</v>
      </c>
    </row>
  </sheetData>
  <conditionalFormatting sqref="E1:E140">
    <cfRule type="top10" dxfId="3" priority="2" bottom="1" rank="10"/>
  </conditionalFormatting>
  <conditionalFormatting sqref="E1:E1048576">
    <cfRule type="top10" dxfId="2" priority="1" bottom="1" rank="10"/>
  </conditionalFormatting>
  <conditionalFormatting sqref="E2:E140">
    <cfRule type="cellIs" dxfId="1" priority="3" operator="greaterThan">
      <formula>75000</formula>
    </cfRule>
  </conditionalFormatting>
  <conditionalFormatting sqref="H2:H140">
    <cfRule type="dataBar" priority="4">
      <dataBar>
        <cfvo type="min"/>
        <cfvo type="max"/>
        <color rgb="FF638EC6"/>
      </dataBar>
      <extLst>
        <ext xmlns:x14="http://schemas.microsoft.com/office/spreadsheetml/2009/9/main" uri="{B025F937-C7B1-47D3-B67F-A62EFF666E3E}">
          <x14:id>{16799FFB-8558-4706-B087-89B85A70AE63}</x14:id>
        </ext>
      </extLst>
    </cfRule>
  </conditionalFormatting>
  <pageMargins left="0.7" right="0.7" top="0.75" bottom="0.75" header="0.3" footer="0.3"/>
  <tableParts count="3">
    <tablePart r:id="rId1"/>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16799FFB-8558-4706-B087-89B85A70AE63}">
            <x14:dataBar minLength="0" maxLength="100" border="1" negativeBarBorderColorSameAsPositive="0">
              <x14:cfvo type="autoMin"/>
              <x14:cfvo type="autoMax"/>
              <x14:borderColor rgb="FF638EC6"/>
              <x14:negativeFillColor rgb="FFFF0000"/>
              <x14:negativeBorderColor rgb="FFFF0000"/>
              <x14:axisColor rgb="FF000000"/>
            </x14:dataBar>
          </x14:cfRule>
          <xm:sqref>H2:H140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ACE4-2ABC-45CC-AC96-059C6FC65DDF}">
  <dimension ref="A1:N150"/>
  <sheetViews>
    <sheetView workbookViewId="0">
      <selection activeCell="F31" sqref="F31:F131"/>
    </sheetView>
  </sheetViews>
  <sheetFormatPr defaultRowHeight="14.4" x14ac:dyDescent="0.3"/>
  <cols>
    <col min="1" max="1" width="13.5546875" bestFit="1" customWidth="1"/>
    <col min="2" max="2" width="13.5546875" customWidth="1"/>
    <col min="3" max="3" width="13.21875" bestFit="1" customWidth="1"/>
    <col min="4" max="4" width="9.6640625" bestFit="1" customWidth="1"/>
    <col min="5" max="5" width="8.44140625" bestFit="1" customWidth="1"/>
    <col min="6" max="6" width="15" style="3" bestFit="1" customWidth="1"/>
    <col min="7" max="7" width="21.33203125" style="3" customWidth="1"/>
    <col min="8" max="8" width="19.6640625" bestFit="1" customWidth="1"/>
    <col min="9" max="9" width="9.33203125" bestFit="1" customWidth="1"/>
    <col min="10" max="10" width="20.33203125" bestFit="1" customWidth="1"/>
    <col min="13" max="13" width="67.88671875" customWidth="1"/>
    <col min="14" max="14" width="16" customWidth="1"/>
  </cols>
  <sheetData>
    <row r="1" spans="1:14" ht="15.6" x14ac:dyDescent="0.3">
      <c r="A1" t="s">
        <v>0</v>
      </c>
      <c r="B1" s="7" t="s">
        <v>1</v>
      </c>
      <c r="C1" t="s">
        <v>2</v>
      </c>
      <c r="D1" t="s">
        <v>3</v>
      </c>
      <c r="E1" t="s">
        <v>4</v>
      </c>
      <c r="F1" s="3" t="s">
        <v>5</v>
      </c>
      <c r="G1" s="3" t="s">
        <v>299</v>
      </c>
      <c r="H1" t="s">
        <v>6</v>
      </c>
      <c r="I1" t="s">
        <v>7</v>
      </c>
      <c r="J1" t="s">
        <v>8</v>
      </c>
    </row>
    <row r="2" spans="1:14" ht="21" x14ac:dyDescent="0.4">
      <c r="A2" t="s">
        <v>13</v>
      </c>
      <c r="B2" t="s">
        <v>14</v>
      </c>
      <c r="C2" t="s">
        <v>15</v>
      </c>
      <c r="D2" t="s">
        <v>16</v>
      </c>
      <c r="E2">
        <v>54255</v>
      </c>
      <c r="F2" s="3">
        <v>42015</v>
      </c>
      <c r="G2" s="3" t="str">
        <f t="shared" ref="G2:G33" si="0">IF(H1&gt;3,"GOOD","NEED TO IMPROVE")</f>
        <v>GOOD</v>
      </c>
      <c r="H2">
        <v>1</v>
      </c>
      <c r="I2" t="s">
        <v>17</v>
      </c>
      <c r="J2" t="s">
        <v>18</v>
      </c>
      <c r="M2" s="1" t="s">
        <v>279</v>
      </c>
    </row>
    <row r="3" spans="1:14" x14ac:dyDescent="0.3">
      <c r="A3" t="s">
        <v>19</v>
      </c>
      <c r="B3" t="s">
        <v>20</v>
      </c>
      <c r="C3" t="s">
        <v>9</v>
      </c>
      <c r="D3" t="s">
        <v>16</v>
      </c>
      <c r="E3">
        <v>63184</v>
      </c>
      <c r="F3" s="3">
        <v>42022</v>
      </c>
      <c r="G3" s="3" t="str">
        <f t="shared" si="0"/>
        <v>NEED TO IMPROVE</v>
      </c>
      <c r="H3">
        <v>2</v>
      </c>
      <c r="I3" t="s">
        <v>11</v>
      </c>
      <c r="J3" t="s">
        <v>21</v>
      </c>
    </row>
    <row r="4" spans="1:14" x14ac:dyDescent="0.3">
      <c r="A4" t="s">
        <v>22</v>
      </c>
      <c r="B4" t="s">
        <v>23</v>
      </c>
      <c r="C4" t="s">
        <v>24</v>
      </c>
      <c r="D4" t="s">
        <v>25</v>
      </c>
      <c r="E4">
        <v>94406</v>
      </c>
      <c r="F4" s="3">
        <v>42029</v>
      </c>
      <c r="G4" s="3" t="str">
        <f t="shared" si="0"/>
        <v>NEED TO IMPROVE</v>
      </c>
      <c r="H4">
        <v>1</v>
      </c>
      <c r="I4" t="s">
        <v>26</v>
      </c>
      <c r="J4" t="s">
        <v>27</v>
      </c>
      <c r="M4" s="2" t="s">
        <v>280</v>
      </c>
    </row>
    <row r="5" spans="1:14" x14ac:dyDescent="0.3">
      <c r="A5" t="s">
        <v>28</v>
      </c>
      <c r="B5" t="s">
        <v>29</v>
      </c>
      <c r="C5" t="s">
        <v>24</v>
      </c>
      <c r="D5" t="s">
        <v>16</v>
      </c>
      <c r="E5">
        <v>64120</v>
      </c>
      <c r="F5" s="3">
        <v>42036</v>
      </c>
      <c r="G5" s="3" t="str">
        <f t="shared" si="0"/>
        <v>NEED TO IMPROVE</v>
      </c>
      <c r="H5">
        <v>1</v>
      </c>
      <c r="I5" t="s">
        <v>26</v>
      </c>
      <c r="J5" t="s">
        <v>30</v>
      </c>
      <c r="M5" s="2" t="s">
        <v>281</v>
      </c>
    </row>
    <row r="6" spans="1:14" x14ac:dyDescent="0.3">
      <c r="A6" t="s">
        <v>31</v>
      </c>
      <c r="B6" t="s">
        <v>20</v>
      </c>
      <c r="C6" t="s">
        <v>32</v>
      </c>
      <c r="D6" t="s">
        <v>33</v>
      </c>
      <c r="E6">
        <v>78421</v>
      </c>
      <c r="F6" s="3">
        <v>42043</v>
      </c>
      <c r="G6" s="3" t="str">
        <f t="shared" si="0"/>
        <v>NEED TO IMPROVE</v>
      </c>
      <c r="H6">
        <v>2</v>
      </c>
      <c r="I6" t="s">
        <v>34</v>
      </c>
      <c r="J6" t="s">
        <v>35</v>
      </c>
      <c r="M6" s="2" t="s">
        <v>282</v>
      </c>
    </row>
    <row r="7" spans="1:14" x14ac:dyDescent="0.3">
      <c r="A7" t="s">
        <v>36</v>
      </c>
      <c r="B7" t="s">
        <v>37</v>
      </c>
      <c r="C7" t="s">
        <v>24</v>
      </c>
      <c r="D7" t="s">
        <v>33</v>
      </c>
      <c r="E7">
        <v>67721</v>
      </c>
      <c r="F7" s="3">
        <v>42050</v>
      </c>
      <c r="G7" s="3" t="str">
        <f t="shared" si="0"/>
        <v>NEED TO IMPROVE</v>
      </c>
      <c r="H7">
        <v>0</v>
      </c>
      <c r="I7" t="s">
        <v>26</v>
      </c>
      <c r="J7" t="s">
        <v>27</v>
      </c>
      <c r="M7" s="2" t="s">
        <v>283</v>
      </c>
    </row>
    <row r="8" spans="1:14" x14ac:dyDescent="0.3">
      <c r="A8" t="s">
        <v>38</v>
      </c>
      <c r="B8" t="s">
        <v>39</v>
      </c>
      <c r="C8" t="s">
        <v>40</v>
      </c>
      <c r="D8" t="s">
        <v>33</v>
      </c>
      <c r="E8">
        <v>35364</v>
      </c>
      <c r="F8" s="3">
        <v>42057</v>
      </c>
      <c r="G8" s="3" t="str">
        <f t="shared" si="0"/>
        <v>NEED TO IMPROVE</v>
      </c>
      <c r="H8">
        <v>2</v>
      </c>
      <c r="I8" t="s">
        <v>17</v>
      </c>
      <c r="J8" t="s">
        <v>41</v>
      </c>
      <c r="M8" s="2" t="s">
        <v>284</v>
      </c>
    </row>
    <row r="9" spans="1:14" x14ac:dyDescent="0.3">
      <c r="A9" t="s">
        <v>42</v>
      </c>
      <c r="B9" t="s">
        <v>20</v>
      </c>
      <c r="C9" t="s">
        <v>32</v>
      </c>
      <c r="D9" t="s">
        <v>16</v>
      </c>
      <c r="E9">
        <v>97881</v>
      </c>
      <c r="F9" s="3">
        <v>42064</v>
      </c>
      <c r="G9" s="3" t="str">
        <f t="shared" si="0"/>
        <v>NEED TO IMPROVE</v>
      </c>
      <c r="H9">
        <v>0</v>
      </c>
      <c r="I9" t="s">
        <v>34</v>
      </c>
      <c r="J9" t="s">
        <v>43</v>
      </c>
      <c r="M9" s="2"/>
    </row>
    <row r="10" spans="1:14" x14ac:dyDescent="0.3">
      <c r="A10" t="s">
        <v>44</v>
      </c>
      <c r="B10" t="s">
        <v>39</v>
      </c>
      <c r="C10" t="s">
        <v>15</v>
      </c>
      <c r="D10" t="s">
        <v>45</v>
      </c>
      <c r="E10">
        <v>91846</v>
      </c>
      <c r="F10" s="3">
        <v>42071</v>
      </c>
      <c r="G10" s="3" t="str">
        <f t="shared" si="0"/>
        <v>NEED TO IMPROVE</v>
      </c>
      <c r="H10">
        <v>0</v>
      </c>
      <c r="I10" t="s">
        <v>26</v>
      </c>
      <c r="J10" t="s">
        <v>46</v>
      </c>
    </row>
    <row r="11" spans="1:14" x14ac:dyDescent="0.3">
      <c r="A11" t="s">
        <v>47</v>
      </c>
      <c r="B11" t="s">
        <v>37</v>
      </c>
      <c r="C11" t="s">
        <v>9</v>
      </c>
      <c r="D11" t="s">
        <v>45</v>
      </c>
      <c r="E11">
        <v>64247</v>
      </c>
      <c r="F11" s="3">
        <v>42078</v>
      </c>
      <c r="G11" s="3" t="str">
        <f t="shared" si="0"/>
        <v>NEED TO IMPROVE</v>
      </c>
      <c r="H11">
        <v>1</v>
      </c>
      <c r="I11" t="s">
        <v>34</v>
      </c>
      <c r="J11" t="s">
        <v>48</v>
      </c>
    </row>
    <row r="12" spans="1:14" x14ac:dyDescent="0.3">
      <c r="A12" t="s">
        <v>49</v>
      </c>
      <c r="B12" t="s">
        <v>37</v>
      </c>
      <c r="C12" t="s">
        <v>32</v>
      </c>
      <c r="D12" t="s">
        <v>25</v>
      </c>
      <c r="E12">
        <v>91180</v>
      </c>
      <c r="F12" s="3">
        <v>42085</v>
      </c>
      <c r="G12" s="3" t="str">
        <f t="shared" si="0"/>
        <v>NEED TO IMPROVE</v>
      </c>
      <c r="H12">
        <v>5</v>
      </c>
      <c r="I12" t="s">
        <v>26</v>
      </c>
      <c r="J12" t="s">
        <v>50</v>
      </c>
      <c r="M12" t="s">
        <v>291</v>
      </c>
    </row>
    <row r="13" spans="1:14" x14ac:dyDescent="0.3">
      <c r="A13" t="s">
        <v>51</v>
      </c>
      <c r="B13" t="s">
        <v>52</v>
      </c>
      <c r="C13" t="s">
        <v>24</v>
      </c>
      <c r="D13" t="s">
        <v>33</v>
      </c>
      <c r="E13">
        <v>96418</v>
      </c>
      <c r="F13" s="3">
        <v>42092</v>
      </c>
      <c r="G13" s="3" t="str">
        <f t="shared" si="0"/>
        <v>GOOD</v>
      </c>
      <c r="H13">
        <v>5</v>
      </c>
      <c r="I13" t="s">
        <v>26</v>
      </c>
      <c r="J13" t="s">
        <v>18</v>
      </c>
      <c r="M13" t="s">
        <v>292</v>
      </c>
      <c r="N13" t="s">
        <v>293</v>
      </c>
    </row>
    <row r="14" spans="1:14" x14ac:dyDescent="0.3">
      <c r="A14" t="s">
        <v>53</v>
      </c>
      <c r="B14" t="s">
        <v>37</v>
      </c>
      <c r="C14" t="s">
        <v>11</v>
      </c>
      <c r="D14" t="s">
        <v>33</v>
      </c>
      <c r="E14">
        <v>62158</v>
      </c>
      <c r="F14" s="3">
        <v>42099</v>
      </c>
      <c r="G14" s="3" t="str">
        <f t="shared" si="0"/>
        <v>GOOD</v>
      </c>
      <c r="H14">
        <v>4</v>
      </c>
      <c r="I14" t="s">
        <v>11</v>
      </c>
      <c r="J14" t="s">
        <v>54</v>
      </c>
      <c r="M14" t="s">
        <v>287</v>
      </c>
      <c r="N14">
        <f>SUM(E2:E150)</f>
        <v>9411892</v>
      </c>
    </row>
    <row r="15" spans="1:14" x14ac:dyDescent="0.3">
      <c r="A15" t="s">
        <v>55</v>
      </c>
      <c r="B15" t="s">
        <v>29</v>
      </c>
      <c r="C15" t="s">
        <v>15</v>
      </c>
      <c r="D15" t="s">
        <v>33</v>
      </c>
      <c r="E15">
        <v>59894</v>
      </c>
      <c r="F15" s="3">
        <v>42106</v>
      </c>
      <c r="G15" s="3" t="str">
        <f t="shared" si="0"/>
        <v>GOOD</v>
      </c>
      <c r="H15">
        <v>2</v>
      </c>
      <c r="I15" t="s">
        <v>26</v>
      </c>
      <c r="J15" t="s">
        <v>56</v>
      </c>
      <c r="M15" t="s">
        <v>286</v>
      </c>
      <c r="N15" s="4">
        <f>AVERAGE(Sheet1[Salary])</f>
        <v>66280.929577464791</v>
      </c>
    </row>
    <row r="16" spans="1:14" x14ac:dyDescent="0.3">
      <c r="A16" t="s">
        <v>57</v>
      </c>
      <c r="B16" t="s">
        <v>11</v>
      </c>
      <c r="C16" t="s">
        <v>32</v>
      </c>
      <c r="D16" t="s">
        <v>33</v>
      </c>
      <c r="E16">
        <v>92443</v>
      </c>
      <c r="F16" s="3">
        <v>42113</v>
      </c>
      <c r="G16" s="3" t="str">
        <f t="shared" si="0"/>
        <v>NEED TO IMPROVE</v>
      </c>
      <c r="H16">
        <v>3</v>
      </c>
      <c r="I16" t="s">
        <v>17</v>
      </c>
      <c r="J16" t="s">
        <v>58</v>
      </c>
      <c r="M16" t="s">
        <v>285</v>
      </c>
      <c r="N16">
        <f>MIN(E:E)</f>
        <v>30280</v>
      </c>
    </row>
    <row r="17" spans="1:14" x14ac:dyDescent="0.3">
      <c r="A17" t="s">
        <v>59</v>
      </c>
      <c r="B17" t="s">
        <v>52</v>
      </c>
      <c r="C17" t="s">
        <v>11</v>
      </c>
      <c r="D17" t="s">
        <v>16</v>
      </c>
      <c r="E17">
        <v>90271</v>
      </c>
      <c r="F17" s="3">
        <v>42120</v>
      </c>
      <c r="G17" s="3" t="str">
        <f t="shared" si="0"/>
        <v>NEED TO IMPROVE</v>
      </c>
      <c r="H17">
        <v>0</v>
      </c>
      <c r="I17" t="s">
        <v>11</v>
      </c>
      <c r="J17" t="s">
        <v>60</v>
      </c>
      <c r="M17" t="s">
        <v>288</v>
      </c>
      <c r="N17">
        <f>MAX(E:E)</f>
        <v>99621</v>
      </c>
    </row>
    <row r="18" spans="1:14" x14ac:dyDescent="0.3">
      <c r="A18" t="s">
        <v>61</v>
      </c>
      <c r="B18" t="s">
        <v>29</v>
      </c>
      <c r="C18" t="s">
        <v>9</v>
      </c>
      <c r="D18" t="s">
        <v>62</v>
      </c>
      <c r="E18">
        <v>41341</v>
      </c>
      <c r="F18" s="3">
        <v>42127</v>
      </c>
      <c r="G18" s="3" t="str">
        <f t="shared" si="0"/>
        <v>NEED TO IMPROVE</v>
      </c>
      <c r="H18">
        <v>1</v>
      </c>
      <c r="I18" t="s">
        <v>17</v>
      </c>
      <c r="J18" t="s">
        <v>63</v>
      </c>
      <c r="M18" s="2" t="s">
        <v>289</v>
      </c>
      <c r="N18">
        <f>COUNTBLANK(Sheet1[Date of Joining])</f>
        <v>0</v>
      </c>
    </row>
    <row r="19" spans="1:14" x14ac:dyDescent="0.3">
      <c r="A19" t="s">
        <v>64</v>
      </c>
      <c r="B19" t="s">
        <v>20</v>
      </c>
      <c r="C19" t="s">
        <v>9</v>
      </c>
      <c r="D19" t="s">
        <v>45</v>
      </c>
      <c r="E19">
        <v>73602</v>
      </c>
      <c r="F19" s="3">
        <v>42134</v>
      </c>
      <c r="G19" s="3" t="str">
        <f t="shared" si="0"/>
        <v>NEED TO IMPROVE</v>
      </c>
      <c r="H19">
        <v>0</v>
      </c>
      <c r="I19" t="s">
        <v>11</v>
      </c>
      <c r="J19" t="s">
        <v>65</v>
      </c>
      <c r="M19" t="s">
        <v>290</v>
      </c>
      <c r="N19">
        <f>COUNTA(A:A)</f>
        <v>150</v>
      </c>
    </row>
    <row r="20" spans="1:14" x14ac:dyDescent="0.3">
      <c r="A20" t="s">
        <v>66</v>
      </c>
      <c r="B20" t="s">
        <v>14</v>
      </c>
      <c r="C20" t="s">
        <v>11</v>
      </c>
      <c r="D20" t="s">
        <v>33</v>
      </c>
      <c r="E20">
        <v>67531</v>
      </c>
      <c r="F20" s="3">
        <v>42141</v>
      </c>
      <c r="G20" s="3" t="str">
        <f t="shared" si="0"/>
        <v>NEED TO IMPROVE</v>
      </c>
      <c r="H20">
        <v>5</v>
      </c>
      <c r="I20" t="s">
        <v>34</v>
      </c>
      <c r="J20" t="s">
        <v>67</v>
      </c>
    </row>
    <row r="21" spans="1:14" x14ac:dyDescent="0.3">
      <c r="A21" t="s">
        <v>68</v>
      </c>
      <c r="B21" t="s">
        <v>29</v>
      </c>
      <c r="C21" t="s">
        <v>15</v>
      </c>
      <c r="D21" t="s">
        <v>25</v>
      </c>
      <c r="E21" t="s">
        <v>10</v>
      </c>
      <c r="F21" s="3">
        <v>42148</v>
      </c>
      <c r="G21" s="3" t="str">
        <f t="shared" si="0"/>
        <v>GOOD</v>
      </c>
      <c r="H21">
        <v>2</v>
      </c>
      <c r="I21" t="s">
        <v>17</v>
      </c>
      <c r="J21" t="s">
        <v>69</v>
      </c>
      <c r="M21" t="s">
        <v>292</v>
      </c>
      <c r="N21" s="2" t="s">
        <v>293</v>
      </c>
    </row>
    <row r="22" spans="1:14" x14ac:dyDescent="0.3">
      <c r="A22" t="s">
        <v>70</v>
      </c>
      <c r="B22" t="s">
        <v>29</v>
      </c>
      <c r="C22" t="s">
        <v>15</v>
      </c>
      <c r="D22" t="s">
        <v>33</v>
      </c>
      <c r="E22">
        <v>98922</v>
      </c>
      <c r="F22" s="3">
        <v>42155</v>
      </c>
      <c r="G22" s="3" t="str">
        <f t="shared" si="0"/>
        <v>NEED TO IMPROVE</v>
      </c>
      <c r="H22">
        <v>4</v>
      </c>
      <c r="I22" t="s">
        <v>11</v>
      </c>
      <c r="J22" t="s">
        <v>71</v>
      </c>
      <c r="M22" t="s">
        <v>296</v>
      </c>
      <c r="N22" s="5" t="str">
        <f>IF(H1&gt;3,"GOOD","NEED TO IMPROVE")</f>
        <v>GOOD</v>
      </c>
    </row>
    <row r="23" spans="1:14" x14ac:dyDescent="0.3">
      <c r="A23" t="s">
        <v>72</v>
      </c>
      <c r="B23" t="s">
        <v>14</v>
      </c>
      <c r="C23" t="s">
        <v>9</v>
      </c>
      <c r="D23" t="s">
        <v>33</v>
      </c>
      <c r="E23">
        <v>38333</v>
      </c>
      <c r="F23" s="3">
        <v>42162</v>
      </c>
      <c r="G23" s="3" t="str">
        <f t="shared" si="0"/>
        <v>GOOD</v>
      </c>
      <c r="H23">
        <v>5</v>
      </c>
      <c r="I23" t="s">
        <v>11</v>
      </c>
      <c r="J23" t="s">
        <v>73</v>
      </c>
      <c r="M23" t="s">
        <v>297</v>
      </c>
      <c r="N23" s="5">
        <f>SUMIF(Sheet1[Department],"IT",E:E)</f>
        <v>1418355</v>
      </c>
    </row>
    <row r="24" spans="1:14" x14ac:dyDescent="0.3">
      <c r="A24" t="s">
        <v>74</v>
      </c>
      <c r="B24" t="s">
        <v>20</v>
      </c>
      <c r="C24" t="s">
        <v>40</v>
      </c>
      <c r="D24" t="s">
        <v>45</v>
      </c>
      <c r="E24">
        <v>36515</v>
      </c>
      <c r="F24" s="3">
        <v>42169</v>
      </c>
      <c r="G24" s="3" t="str">
        <f t="shared" si="0"/>
        <v>GOOD</v>
      </c>
      <c r="H24">
        <v>3</v>
      </c>
      <c r="I24" t="s">
        <v>26</v>
      </c>
      <c r="J24" t="s">
        <v>75</v>
      </c>
      <c r="M24" t="s">
        <v>300</v>
      </c>
      <c r="N24" s="5">
        <f>COUNTIF(Sheet1[Country],"INDIA")</f>
        <v>57</v>
      </c>
    </row>
    <row r="25" spans="1:14" x14ac:dyDescent="0.3">
      <c r="A25" t="s">
        <v>76</v>
      </c>
      <c r="B25" t="s">
        <v>37</v>
      </c>
      <c r="C25" t="s">
        <v>9</v>
      </c>
      <c r="D25" t="s">
        <v>33</v>
      </c>
      <c r="E25">
        <v>91005</v>
      </c>
      <c r="F25" s="3">
        <v>42176</v>
      </c>
      <c r="G25" s="3" t="str">
        <f t="shared" si="0"/>
        <v>NEED TO IMPROVE</v>
      </c>
      <c r="H25">
        <v>1</v>
      </c>
      <c r="I25" t="s">
        <v>17</v>
      </c>
      <c r="J25" t="s">
        <v>77</v>
      </c>
      <c r="M25" t="s">
        <v>301</v>
      </c>
      <c r="N25">
        <f>COUNTIFS(C:C,"HR",I:I,"FEMALE",E:E,"&gt;75000")</f>
        <v>2</v>
      </c>
    </row>
    <row r="26" spans="1:14" x14ac:dyDescent="0.3">
      <c r="A26" t="s">
        <v>78</v>
      </c>
      <c r="B26" t="s">
        <v>39</v>
      </c>
      <c r="C26" t="s">
        <v>11</v>
      </c>
      <c r="D26" t="s">
        <v>345</v>
      </c>
      <c r="E26">
        <v>52272</v>
      </c>
      <c r="F26" s="3">
        <v>42183</v>
      </c>
      <c r="G26" s="3" t="str">
        <f t="shared" si="0"/>
        <v>NEED TO IMPROVE</v>
      </c>
      <c r="H26">
        <v>3</v>
      </c>
      <c r="I26" t="s">
        <v>11</v>
      </c>
      <c r="J26" t="s">
        <v>79</v>
      </c>
      <c r="M26" t="s">
        <v>298</v>
      </c>
      <c r="N26" s="6">
        <f>AVERAGEIF(Sheet1[Gender],"FEMALE",Sheet1[Salary])</f>
        <v>63132.36363636364</v>
      </c>
    </row>
    <row r="27" spans="1:14" x14ac:dyDescent="0.3">
      <c r="A27" t="s">
        <v>80</v>
      </c>
      <c r="B27" t="s">
        <v>14</v>
      </c>
      <c r="C27" t="s">
        <v>24</v>
      </c>
      <c r="D27" t="s">
        <v>16</v>
      </c>
      <c r="E27">
        <v>76518</v>
      </c>
      <c r="F27" s="3">
        <v>42190</v>
      </c>
      <c r="G27" s="3" t="str">
        <f t="shared" si="0"/>
        <v>NEED TO IMPROVE</v>
      </c>
      <c r="H27">
        <v>2</v>
      </c>
      <c r="I27" t="s">
        <v>34</v>
      </c>
      <c r="J27" t="s">
        <v>81</v>
      </c>
    </row>
    <row r="28" spans="1:14" x14ac:dyDescent="0.3">
      <c r="A28" t="s">
        <v>82</v>
      </c>
      <c r="B28" t="s">
        <v>20</v>
      </c>
      <c r="C28" t="s">
        <v>32</v>
      </c>
      <c r="D28" t="s">
        <v>45</v>
      </c>
      <c r="E28">
        <v>41448</v>
      </c>
      <c r="F28" s="3">
        <v>42197</v>
      </c>
      <c r="G28" s="3" t="str">
        <f t="shared" si="0"/>
        <v>NEED TO IMPROVE</v>
      </c>
      <c r="H28">
        <v>3</v>
      </c>
      <c r="I28" t="s">
        <v>17</v>
      </c>
      <c r="J28" t="s">
        <v>83</v>
      </c>
      <c r="M28" t="s">
        <v>292</v>
      </c>
      <c r="N28" t="s">
        <v>293</v>
      </c>
    </row>
    <row r="29" spans="1:14" x14ac:dyDescent="0.3">
      <c r="A29" t="s">
        <v>84</v>
      </c>
      <c r="B29" t="s">
        <v>23</v>
      </c>
      <c r="C29" t="s">
        <v>15</v>
      </c>
      <c r="D29" t="s">
        <v>45</v>
      </c>
      <c r="E29">
        <v>49282</v>
      </c>
      <c r="F29" s="3">
        <v>42204</v>
      </c>
      <c r="G29" s="3" t="str">
        <f t="shared" si="0"/>
        <v>NEED TO IMPROVE</v>
      </c>
      <c r="H29">
        <v>2</v>
      </c>
      <c r="I29" t="s">
        <v>34</v>
      </c>
      <c r="J29" t="s">
        <v>85</v>
      </c>
      <c r="M29" t="s">
        <v>303</v>
      </c>
      <c r="N29" t="e">
        <f>LEFT(#REF!,3)</f>
        <v>#REF!</v>
      </c>
    </row>
    <row r="30" spans="1:14" x14ac:dyDescent="0.3">
      <c r="A30" t="s">
        <v>86</v>
      </c>
      <c r="B30" t="s">
        <v>52</v>
      </c>
      <c r="C30" t="s">
        <v>40</v>
      </c>
      <c r="D30" t="s">
        <v>45</v>
      </c>
      <c r="E30">
        <v>92959</v>
      </c>
      <c r="F30" s="3">
        <v>42211</v>
      </c>
      <c r="G30" s="3" t="str">
        <f t="shared" si="0"/>
        <v>NEED TO IMPROVE</v>
      </c>
      <c r="H30">
        <v>5</v>
      </c>
      <c r="I30" t="s">
        <v>11</v>
      </c>
      <c r="J30" t="s">
        <v>87</v>
      </c>
      <c r="M30" t="s">
        <v>304</v>
      </c>
      <c r="N30" t="e">
        <f>RIGHT(#REF!,4)</f>
        <v>#REF!</v>
      </c>
    </row>
    <row r="31" spans="1:14" x14ac:dyDescent="0.3">
      <c r="A31" t="s">
        <v>88</v>
      </c>
      <c r="B31" t="s">
        <v>11</v>
      </c>
      <c r="C31" t="s">
        <v>40</v>
      </c>
      <c r="D31" t="s">
        <v>33</v>
      </c>
      <c r="E31">
        <v>92259</v>
      </c>
      <c r="F31" s="3" t="s">
        <v>346</v>
      </c>
      <c r="G31" s="3" t="str">
        <f t="shared" si="0"/>
        <v>GOOD</v>
      </c>
      <c r="H31">
        <v>1</v>
      </c>
      <c r="I31" t="s">
        <v>11</v>
      </c>
      <c r="J31" t="s">
        <v>89</v>
      </c>
      <c r="M31" t="s">
        <v>305</v>
      </c>
      <c r="N31" t="str">
        <f>MID(A2,4,4)</f>
        <v>1001</v>
      </c>
    </row>
    <row r="32" spans="1:14" x14ac:dyDescent="0.3">
      <c r="A32" t="s">
        <v>90</v>
      </c>
      <c r="B32" t="s">
        <v>14</v>
      </c>
      <c r="C32" t="s">
        <v>15</v>
      </c>
      <c r="D32" t="s">
        <v>16</v>
      </c>
      <c r="E32">
        <v>92299</v>
      </c>
      <c r="F32" s="3">
        <v>42225</v>
      </c>
      <c r="G32" s="3" t="str">
        <f t="shared" si="0"/>
        <v>NEED TO IMPROVE</v>
      </c>
      <c r="H32">
        <v>3</v>
      </c>
      <c r="I32" t="s">
        <v>26</v>
      </c>
      <c r="J32" t="s">
        <v>91</v>
      </c>
      <c r="M32" t="s">
        <v>306</v>
      </c>
      <c r="N32" t="e">
        <f>UPPER(#REF!)</f>
        <v>#REF!</v>
      </c>
    </row>
    <row r="33" spans="1:14" x14ac:dyDescent="0.3">
      <c r="A33" t="s">
        <v>92</v>
      </c>
      <c r="B33" t="s">
        <v>37</v>
      </c>
      <c r="C33" t="s">
        <v>15</v>
      </c>
      <c r="D33" t="s">
        <v>33</v>
      </c>
      <c r="E33">
        <v>95586</v>
      </c>
      <c r="F33" s="3">
        <v>42232</v>
      </c>
      <c r="G33" s="3" t="str">
        <f t="shared" si="0"/>
        <v>NEED TO IMPROVE</v>
      </c>
      <c r="H33">
        <v>3</v>
      </c>
      <c r="I33" t="s">
        <v>17</v>
      </c>
      <c r="J33" t="s">
        <v>93</v>
      </c>
      <c r="M33" t="s">
        <v>307</v>
      </c>
      <c r="N33" t="e">
        <f>LOWER(#REF!)</f>
        <v>#REF!</v>
      </c>
    </row>
    <row r="34" spans="1:14" x14ac:dyDescent="0.3">
      <c r="A34" t="s">
        <v>94</v>
      </c>
      <c r="B34" t="s">
        <v>39</v>
      </c>
      <c r="C34" t="s">
        <v>11</v>
      </c>
      <c r="D34" t="s">
        <v>25</v>
      </c>
      <c r="E34">
        <v>95367</v>
      </c>
      <c r="F34" s="3">
        <v>42239</v>
      </c>
      <c r="G34" s="3" t="str">
        <f t="shared" ref="G34:G65" si="1">IF(H33&gt;3,"GOOD","NEED TO IMPROVE")</f>
        <v>NEED TO IMPROVE</v>
      </c>
      <c r="H34">
        <v>0</v>
      </c>
      <c r="I34" t="s">
        <v>26</v>
      </c>
      <c r="J34" t="s">
        <v>95</v>
      </c>
      <c r="M34" t="s">
        <v>308</v>
      </c>
      <c r="N34" t="e">
        <f>PROPER(#REF!)</f>
        <v>#REF!</v>
      </c>
    </row>
    <row r="35" spans="1:14" x14ac:dyDescent="0.3">
      <c r="A35" t="s">
        <v>96</v>
      </c>
      <c r="B35" t="s">
        <v>23</v>
      </c>
      <c r="C35" t="s">
        <v>24</v>
      </c>
      <c r="D35" t="s">
        <v>62</v>
      </c>
      <c r="E35">
        <v>79549</v>
      </c>
      <c r="F35" s="3">
        <v>42246</v>
      </c>
      <c r="G35" s="3" t="str">
        <f t="shared" si="1"/>
        <v>NEED TO IMPROVE</v>
      </c>
      <c r="H35">
        <v>3</v>
      </c>
      <c r="I35" t="s">
        <v>11</v>
      </c>
      <c r="J35" t="s">
        <v>97</v>
      </c>
    </row>
    <row r="36" spans="1:14" x14ac:dyDescent="0.3">
      <c r="A36" t="s">
        <v>98</v>
      </c>
      <c r="B36" t="s">
        <v>20</v>
      </c>
      <c r="C36" t="s">
        <v>11</v>
      </c>
      <c r="D36" t="s">
        <v>45</v>
      </c>
      <c r="E36">
        <v>54463</v>
      </c>
      <c r="F36" s="3">
        <v>42253</v>
      </c>
      <c r="G36" s="3" t="str">
        <f t="shared" si="1"/>
        <v>NEED TO IMPROVE</v>
      </c>
      <c r="H36">
        <v>4</v>
      </c>
      <c r="I36" t="s">
        <v>26</v>
      </c>
      <c r="J36" t="s">
        <v>12</v>
      </c>
    </row>
    <row r="37" spans="1:14" x14ac:dyDescent="0.3">
      <c r="A37" t="s">
        <v>99</v>
      </c>
      <c r="B37" t="s">
        <v>20</v>
      </c>
      <c r="C37" t="s">
        <v>32</v>
      </c>
      <c r="D37" t="s">
        <v>25</v>
      </c>
      <c r="E37">
        <v>89781</v>
      </c>
      <c r="F37" s="3">
        <v>42260</v>
      </c>
      <c r="G37" s="3" t="str">
        <f t="shared" si="1"/>
        <v>GOOD</v>
      </c>
      <c r="H37">
        <v>0</v>
      </c>
      <c r="I37" t="s">
        <v>34</v>
      </c>
      <c r="J37" t="s">
        <v>100</v>
      </c>
    </row>
    <row r="38" spans="1:14" x14ac:dyDescent="0.3">
      <c r="A38" t="s">
        <v>101</v>
      </c>
      <c r="B38" t="s">
        <v>20</v>
      </c>
      <c r="C38" t="s">
        <v>15</v>
      </c>
      <c r="D38" t="s">
        <v>33</v>
      </c>
      <c r="E38">
        <v>64796</v>
      </c>
      <c r="F38" s="3">
        <v>42267</v>
      </c>
      <c r="G38" s="3" t="str">
        <f t="shared" si="1"/>
        <v>NEED TO IMPROVE</v>
      </c>
      <c r="H38">
        <v>0</v>
      </c>
      <c r="I38" t="s">
        <v>17</v>
      </c>
      <c r="J38" t="s">
        <v>102</v>
      </c>
    </row>
    <row r="39" spans="1:14" x14ac:dyDescent="0.3">
      <c r="A39" t="s">
        <v>103</v>
      </c>
      <c r="B39" t="s">
        <v>23</v>
      </c>
      <c r="C39" t="s">
        <v>40</v>
      </c>
      <c r="D39" t="s">
        <v>45</v>
      </c>
      <c r="E39">
        <v>52093</v>
      </c>
      <c r="F39" s="3">
        <v>42274</v>
      </c>
      <c r="G39" s="3" t="str">
        <f t="shared" si="1"/>
        <v>NEED TO IMPROVE</v>
      </c>
      <c r="H39">
        <v>5</v>
      </c>
      <c r="I39" t="s">
        <v>11</v>
      </c>
      <c r="J39" t="s">
        <v>104</v>
      </c>
    </row>
    <row r="40" spans="1:14" x14ac:dyDescent="0.3">
      <c r="A40" t="s">
        <v>105</v>
      </c>
      <c r="B40" t="s">
        <v>39</v>
      </c>
      <c r="C40" t="s">
        <v>15</v>
      </c>
      <c r="D40" t="s">
        <v>45</v>
      </c>
      <c r="E40">
        <v>48224</v>
      </c>
      <c r="F40" s="3">
        <v>42281</v>
      </c>
      <c r="G40" s="3" t="str">
        <f t="shared" si="1"/>
        <v>GOOD</v>
      </c>
      <c r="H40">
        <v>3</v>
      </c>
      <c r="I40" t="s">
        <v>11</v>
      </c>
      <c r="J40" t="s">
        <v>106</v>
      </c>
    </row>
    <row r="41" spans="1:14" x14ac:dyDescent="0.3">
      <c r="A41" t="s">
        <v>107</v>
      </c>
      <c r="B41" t="s">
        <v>52</v>
      </c>
      <c r="C41" t="s">
        <v>9</v>
      </c>
      <c r="D41" t="s">
        <v>45</v>
      </c>
      <c r="E41" t="s">
        <v>10</v>
      </c>
      <c r="F41" s="3" t="s">
        <v>346</v>
      </c>
      <c r="G41" s="3" t="str">
        <f t="shared" si="1"/>
        <v>NEED TO IMPROVE</v>
      </c>
      <c r="H41">
        <v>4</v>
      </c>
      <c r="I41" t="s">
        <v>34</v>
      </c>
      <c r="J41" t="s">
        <v>108</v>
      </c>
    </row>
    <row r="42" spans="1:14" x14ac:dyDescent="0.3">
      <c r="A42" t="s">
        <v>109</v>
      </c>
      <c r="B42" t="s">
        <v>20</v>
      </c>
      <c r="C42" t="s">
        <v>32</v>
      </c>
      <c r="D42" t="s">
        <v>16</v>
      </c>
      <c r="E42">
        <v>33956</v>
      </c>
      <c r="F42" s="3">
        <v>42295</v>
      </c>
      <c r="G42" s="3" t="str">
        <f t="shared" si="1"/>
        <v>GOOD</v>
      </c>
      <c r="H42">
        <v>0</v>
      </c>
      <c r="I42" t="s">
        <v>11</v>
      </c>
      <c r="J42" t="s">
        <v>110</v>
      </c>
    </row>
    <row r="43" spans="1:14" x14ac:dyDescent="0.3">
      <c r="A43" t="s">
        <v>111</v>
      </c>
      <c r="B43" t="s">
        <v>52</v>
      </c>
      <c r="C43" t="s">
        <v>11</v>
      </c>
      <c r="D43" t="s">
        <v>62</v>
      </c>
      <c r="E43">
        <v>64913</v>
      </c>
      <c r="F43" s="3">
        <v>42302</v>
      </c>
      <c r="G43" s="3" t="str">
        <f t="shared" si="1"/>
        <v>NEED TO IMPROVE</v>
      </c>
      <c r="H43">
        <v>1</v>
      </c>
      <c r="I43" t="s">
        <v>34</v>
      </c>
      <c r="J43" t="s">
        <v>112</v>
      </c>
    </row>
    <row r="44" spans="1:14" x14ac:dyDescent="0.3">
      <c r="A44" t="s">
        <v>113</v>
      </c>
      <c r="B44" t="s">
        <v>20</v>
      </c>
      <c r="C44" t="s">
        <v>40</v>
      </c>
      <c r="D44" t="s">
        <v>62</v>
      </c>
      <c r="E44">
        <v>35326</v>
      </c>
      <c r="F44" s="3">
        <v>42309</v>
      </c>
      <c r="G44" s="3" t="str">
        <f t="shared" si="1"/>
        <v>NEED TO IMPROVE</v>
      </c>
      <c r="H44">
        <v>0</v>
      </c>
      <c r="I44" t="s">
        <v>34</v>
      </c>
      <c r="J44" t="s">
        <v>114</v>
      </c>
    </row>
    <row r="45" spans="1:14" x14ac:dyDescent="0.3">
      <c r="A45" t="s">
        <v>115</v>
      </c>
      <c r="B45" t="s">
        <v>39</v>
      </c>
      <c r="C45" t="s">
        <v>9</v>
      </c>
      <c r="D45" t="s">
        <v>33</v>
      </c>
      <c r="E45">
        <v>81610</v>
      </c>
      <c r="F45" s="3">
        <v>42316</v>
      </c>
      <c r="G45" s="3" t="str">
        <f t="shared" si="1"/>
        <v>NEED TO IMPROVE</v>
      </c>
      <c r="H45">
        <v>1</v>
      </c>
      <c r="I45" t="s">
        <v>11</v>
      </c>
      <c r="J45" t="s">
        <v>116</v>
      </c>
    </row>
    <row r="46" spans="1:14" x14ac:dyDescent="0.3">
      <c r="A46" t="s">
        <v>117</v>
      </c>
      <c r="B46" t="s">
        <v>11</v>
      </c>
      <c r="C46" t="s">
        <v>15</v>
      </c>
      <c r="D46" t="s">
        <v>33</v>
      </c>
      <c r="E46">
        <v>58962</v>
      </c>
      <c r="F46" s="3">
        <v>42323</v>
      </c>
      <c r="G46" s="3" t="str">
        <f t="shared" si="1"/>
        <v>NEED TO IMPROVE</v>
      </c>
      <c r="H46">
        <v>3</v>
      </c>
      <c r="I46" t="s">
        <v>17</v>
      </c>
      <c r="J46" t="s">
        <v>18</v>
      </c>
    </row>
    <row r="47" spans="1:14" x14ac:dyDescent="0.3">
      <c r="A47" t="s">
        <v>118</v>
      </c>
      <c r="B47" t="s">
        <v>39</v>
      </c>
      <c r="C47" t="s">
        <v>32</v>
      </c>
      <c r="D47" t="s">
        <v>16</v>
      </c>
      <c r="E47">
        <v>92701</v>
      </c>
      <c r="F47" s="3">
        <v>42330</v>
      </c>
      <c r="G47" s="3" t="str">
        <f t="shared" si="1"/>
        <v>NEED TO IMPROVE</v>
      </c>
      <c r="H47">
        <v>3</v>
      </c>
      <c r="I47" t="s">
        <v>17</v>
      </c>
      <c r="J47" t="s">
        <v>119</v>
      </c>
    </row>
    <row r="48" spans="1:14" x14ac:dyDescent="0.3">
      <c r="A48" t="s">
        <v>120</v>
      </c>
      <c r="B48" t="s">
        <v>39</v>
      </c>
      <c r="C48" t="s">
        <v>15</v>
      </c>
      <c r="D48" t="s">
        <v>33</v>
      </c>
      <c r="E48">
        <v>58245</v>
      </c>
      <c r="F48" s="3">
        <v>42337</v>
      </c>
      <c r="G48" s="3" t="str">
        <f t="shared" si="1"/>
        <v>NEED TO IMPROVE</v>
      </c>
      <c r="H48">
        <v>4</v>
      </c>
      <c r="I48" t="s">
        <v>11</v>
      </c>
      <c r="J48" t="s">
        <v>121</v>
      </c>
    </row>
    <row r="49" spans="1:10" x14ac:dyDescent="0.3">
      <c r="A49" t="s">
        <v>122</v>
      </c>
      <c r="B49" t="s">
        <v>23</v>
      </c>
      <c r="C49" t="s">
        <v>9</v>
      </c>
      <c r="D49" t="s">
        <v>33</v>
      </c>
      <c r="E49">
        <v>66513</v>
      </c>
      <c r="F49" s="3">
        <v>42344</v>
      </c>
      <c r="G49" s="3" t="str">
        <f t="shared" si="1"/>
        <v>GOOD</v>
      </c>
      <c r="H49">
        <v>2</v>
      </c>
      <c r="I49" t="s">
        <v>17</v>
      </c>
      <c r="J49" t="s">
        <v>35</v>
      </c>
    </row>
    <row r="50" spans="1:10" x14ac:dyDescent="0.3">
      <c r="A50" t="s">
        <v>123</v>
      </c>
      <c r="B50" t="s">
        <v>14</v>
      </c>
      <c r="C50" t="s">
        <v>15</v>
      </c>
      <c r="D50" t="s">
        <v>16</v>
      </c>
      <c r="E50">
        <v>78720</v>
      </c>
      <c r="F50" s="3">
        <v>42351</v>
      </c>
      <c r="G50" s="3" t="str">
        <f t="shared" si="1"/>
        <v>NEED TO IMPROVE</v>
      </c>
      <c r="H50">
        <v>5</v>
      </c>
      <c r="I50" t="s">
        <v>34</v>
      </c>
      <c r="J50" t="s">
        <v>108</v>
      </c>
    </row>
    <row r="51" spans="1:10" x14ac:dyDescent="0.3">
      <c r="A51" t="s">
        <v>124</v>
      </c>
      <c r="B51" t="s">
        <v>39</v>
      </c>
      <c r="C51" t="s">
        <v>11</v>
      </c>
      <c r="D51" t="s">
        <v>33</v>
      </c>
      <c r="E51">
        <v>30686</v>
      </c>
      <c r="F51" s="3" t="s">
        <v>346</v>
      </c>
      <c r="G51" s="3" t="str">
        <f t="shared" si="1"/>
        <v>GOOD</v>
      </c>
      <c r="H51">
        <v>2</v>
      </c>
      <c r="I51" t="s">
        <v>34</v>
      </c>
      <c r="J51" t="s">
        <v>125</v>
      </c>
    </row>
    <row r="52" spans="1:10" x14ac:dyDescent="0.3">
      <c r="A52" t="s">
        <v>126</v>
      </c>
      <c r="B52" t="s">
        <v>37</v>
      </c>
      <c r="C52" t="s">
        <v>24</v>
      </c>
      <c r="D52" t="s">
        <v>33</v>
      </c>
      <c r="E52">
        <v>39423</v>
      </c>
      <c r="F52" s="3">
        <v>42365</v>
      </c>
      <c r="G52" s="3" t="str">
        <f t="shared" si="1"/>
        <v>NEED TO IMPROVE</v>
      </c>
      <c r="H52">
        <v>5</v>
      </c>
      <c r="I52" t="s">
        <v>11</v>
      </c>
      <c r="J52" t="s">
        <v>127</v>
      </c>
    </row>
    <row r="53" spans="1:10" x14ac:dyDescent="0.3">
      <c r="A53" t="s">
        <v>128</v>
      </c>
      <c r="B53" t="s">
        <v>14</v>
      </c>
      <c r="C53" t="s">
        <v>40</v>
      </c>
      <c r="D53" t="s">
        <v>33</v>
      </c>
      <c r="E53">
        <v>30280</v>
      </c>
      <c r="F53" s="3">
        <v>42372</v>
      </c>
      <c r="G53" s="3" t="str">
        <f t="shared" si="1"/>
        <v>GOOD</v>
      </c>
      <c r="H53">
        <v>1</v>
      </c>
      <c r="I53" t="s">
        <v>11</v>
      </c>
      <c r="J53" t="s">
        <v>129</v>
      </c>
    </row>
    <row r="54" spans="1:10" x14ac:dyDescent="0.3">
      <c r="A54" t="s">
        <v>130</v>
      </c>
      <c r="B54" t="s">
        <v>14</v>
      </c>
      <c r="C54" t="s">
        <v>9</v>
      </c>
      <c r="D54" t="s">
        <v>45</v>
      </c>
      <c r="E54">
        <v>33352</v>
      </c>
      <c r="F54" s="3">
        <v>42379</v>
      </c>
      <c r="G54" s="3" t="str">
        <f t="shared" si="1"/>
        <v>NEED TO IMPROVE</v>
      </c>
      <c r="H54">
        <v>3</v>
      </c>
      <c r="I54" t="s">
        <v>34</v>
      </c>
      <c r="J54" t="s">
        <v>69</v>
      </c>
    </row>
    <row r="55" spans="1:10" x14ac:dyDescent="0.3">
      <c r="A55" t="s">
        <v>131</v>
      </c>
      <c r="B55" t="s">
        <v>52</v>
      </c>
      <c r="C55" t="s">
        <v>40</v>
      </c>
      <c r="D55" t="s">
        <v>45</v>
      </c>
      <c r="E55">
        <v>75633</v>
      </c>
      <c r="F55" s="3">
        <v>42386</v>
      </c>
      <c r="G55" s="3" t="str">
        <f t="shared" si="1"/>
        <v>NEED TO IMPROVE</v>
      </c>
      <c r="H55">
        <v>5</v>
      </c>
      <c r="I55" t="s">
        <v>17</v>
      </c>
      <c r="J55" t="s">
        <v>132</v>
      </c>
    </row>
    <row r="56" spans="1:10" x14ac:dyDescent="0.3">
      <c r="A56" t="s">
        <v>133</v>
      </c>
      <c r="B56" t="s">
        <v>39</v>
      </c>
      <c r="C56" t="s">
        <v>11</v>
      </c>
      <c r="D56" t="s">
        <v>25</v>
      </c>
      <c r="E56">
        <v>74815</v>
      </c>
      <c r="F56" s="3">
        <v>42393</v>
      </c>
      <c r="G56" s="3" t="str">
        <f t="shared" si="1"/>
        <v>GOOD</v>
      </c>
      <c r="H56">
        <v>5</v>
      </c>
      <c r="I56" t="s">
        <v>34</v>
      </c>
      <c r="J56" t="s">
        <v>134</v>
      </c>
    </row>
    <row r="57" spans="1:10" x14ac:dyDescent="0.3">
      <c r="A57" t="s">
        <v>135</v>
      </c>
      <c r="B57" t="s">
        <v>23</v>
      </c>
      <c r="C57" t="s">
        <v>24</v>
      </c>
      <c r="D57" t="s">
        <v>62</v>
      </c>
      <c r="E57">
        <v>60011</v>
      </c>
      <c r="F57" s="3">
        <v>42400</v>
      </c>
      <c r="G57" s="3" t="str">
        <f t="shared" si="1"/>
        <v>GOOD</v>
      </c>
      <c r="H57">
        <v>1</v>
      </c>
      <c r="I57" t="s">
        <v>26</v>
      </c>
      <c r="J57" t="s">
        <v>136</v>
      </c>
    </row>
    <row r="58" spans="1:10" x14ac:dyDescent="0.3">
      <c r="A58" t="s">
        <v>137</v>
      </c>
      <c r="B58" t="s">
        <v>14</v>
      </c>
      <c r="C58" t="s">
        <v>11</v>
      </c>
      <c r="D58" t="s">
        <v>33</v>
      </c>
      <c r="E58">
        <v>96949</v>
      </c>
      <c r="F58" s="3">
        <v>42407</v>
      </c>
      <c r="G58" s="3" t="str">
        <f t="shared" si="1"/>
        <v>NEED TO IMPROVE</v>
      </c>
      <c r="H58">
        <v>3</v>
      </c>
      <c r="I58" t="s">
        <v>11</v>
      </c>
      <c r="J58" t="s">
        <v>83</v>
      </c>
    </row>
    <row r="59" spans="1:10" x14ac:dyDescent="0.3">
      <c r="A59" t="s">
        <v>138</v>
      </c>
      <c r="B59" t="s">
        <v>37</v>
      </c>
      <c r="C59" t="s">
        <v>40</v>
      </c>
      <c r="D59" t="s">
        <v>33</v>
      </c>
      <c r="E59">
        <v>84924</v>
      </c>
      <c r="F59" s="3">
        <v>42414</v>
      </c>
      <c r="G59" s="3" t="str">
        <f t="shared" si="1"/>
        <v>NEED TO IMPROVE</v>
      </c>
      <c r="H59">
        <v>5</v>
      </c>
      <c r="I59" t="s">
        <v>26</v>
      </c>
      <c r="J59" t="s">
        <v>139</v>
      </c>
    </row>
    <row r="60" spans="1:10" x14ac:dyDescent="0.3">
      <c r="A60" t="s">
        <v>140</v>
      </c>
      <c r="B60" t="s">
        <v>37</v>
      </c>
      <c r="C60" t="s">
        <v>9</v>
      </c>
      <c r="D60" t="s">
        <v>25</v>
      </c>
      <c r="E60">
        <v>82033</v>
      </c>
      <c r="F60" s="3">
        <v>42421</v>
      </c>
      <c r="G60" s="3" t="str">
        <f t="shared" si="1"/>
        <v>GOOD</v>
      </c>
      <c r="H60">
        <v>1</v>
      </c>
      <c r="I60" t="s">
        <v>11</v>
      </c>
      <c r="J60" t="s">
        <v>116</v>
      </c>
    </row>
    <row r="61" spans="1:10" x14ac:dyDescent="0.3">
      <c r="A61" t="s">
        <v>141</v>
      </c>
      <c r="B61" t="s">
        <v>11</v>
      </c>
      <c r="C61" t="s">
        <v>40</v>
      </c>
      <c r="D61" t="s">
        <v>16</v>
      </c>
      <c r="E61" t="s">
        <v>10</v>
      </c>
      <c r="F61" s="3" t="s">
        <v>346</v>
      </c>
      <c r="G61" s="3" t="str">
        <f t="shared" si="1"/>
        <v>NEED TO IMPROVE</v>
      </c>
      <c r="H61">
        <v>5</v>
      </c>
      <c r="I61" t="s">
        <v>11</v>
      </c>
      <c r="J61" t="s">
        <v>142</v>
      </c>
    </row>
    <row r="62" spans="1:10" x14ac:dyDescent="0.3">
      <c r="A62" t="s">
        <v>143</v>
      </c>
      <c r="B62" t="s">
        <v>14</v>
      </c>
      <c r="C62" t="s">
        <v>11</v>
      </c>
      <c r="D62" t="s">
        <v>62</v>
      </c>
      <c r="E62">
        <v>31499</v>
      </c>
      <c r="F62" s="3">
        <v>42435</v>
      </c>
      <c r="G62" s="3" t="str">
        <f t="shared" si="1"/>
        <v>GOOD</v>
      </c>
      <c r="H62">
        <v>2</v>
      </c>
      <c r="I62" t="s">
        <v>11</v>
      </c>
      <c r="J62" t="s">
        <v>100</v>
      </c>
    </row>
    <row r="63" spans="1:10" x14ac:dyDescent="0.3">
      <c r="A63" t="s">
        <v>144</v>
      </c>
      <c r="B63" t="s">
        <v>39</v>
      </c>
      <c r="C63" t="s">
        <v>32</v>
      </c>
      <c r="D63" t="s">
        <v>45</v>
      </c>
      <c r="E63">
        <v>97981</v>
      </c>
      <c r="F63" s="3">
        <v>42442</v>
      </c>
      <c r="G63" s="3" t="str">
        <f t="shared" si="1"/>
        <v>NEED TO IMPROVE</v>
      </c>
      <c r="H63">
        <v>5</v>
      </c>
      <c r="I63" t="s">
        <v>34</v>
      </c>
      <c r="J63" t="s">
        <v>145</v>
      </c>
    </row>
    <row r="64" spans="1:10" x14ac:dyDescent="0.3">
      <c r="A64" t="s">
        <v>146</v>
      </c>
      <c r="B64" t="s">
        <v>14</v>
      </c>
      <c r="C64" t="s">
        <v>15</v>
      </c>
      <c r="D64" t="s">
        <v>25</v>
      </c>
      <c r="E64">
        <v>36541</v>
      </c>
      <c r="F64" s="3">
        <v>42449</v>
      </c>
      <c r="G64" s="3" t="str">
        <f t="shared" si="1"/>
        <v>GOOD</v>
      </c>
      <c r="H64">
        <v>2</v>
      </c>
      <c r="I64" t="s">
        <v>17</v>
      </c>
      <c r="J64" t="s">
        <v>147</v>
      </c>
    </row>
    <row r="65" spans="1:10" x14ac:dyDescent="0.3">
      <c r="A65" t="s">
        <v>148</v>
      </c>
      <c r="B65" t="s">
        <v>23</v>
      </c>
      <c r="C65" t="s">
        <v>32</v>
      </c>
      <c r="D65" t="s">
        <v>33</v>
      </c>
      <c r="E65">
        <v>84737</v>
      </c>
      <c r="F65" s="3">
        <v>42456</v>
      </c>
      <c r="G65" s="3" t="str">
        <f t="shared" si="1"/>
        <v>NEED TO IMPROVE</v>
      </c>
      <c r="H65">
        <v>1</v>
      </c>
      <c r="I65" t="s">
        <v>26</v>
      </c>
      <c r="J65" t="s">
        <v>149</v>
      </c>
    </row>
    <row r="66" spans="1:10" x14ac:dyDescent="0.3">
      <c r="A66" t="s">
        <v>150</v>
      </c>
      <c r="B66" t="s">
        <v>37</v>
      </c>
      <c r="C66" t="s">
        <v>9</v>
      </c>
      <c r="D66" t="s">
        <v>33</v>
      </c>
      <c r="E66">
        <v>33468</v>
      </c>
      <c r="F66" s="3">
        <v>42463</v>
      </c>
      <c r="G66" s="3" t="str">
        <f t="shared" ref="G66:G97" si="2">IF(H65&gt;3,"GOOD","NEED TO IMPROVE")</f>
        <v>NEED TO IMPROVE</v>
      </c>
      <c r="H66">
        <v>4</v>
      </c>
      <c r="I66" t="s">
        <v>26</v>
      </c>
      <c r="J66" t="s">
        <v>151</v>
      </c>
    </row>
    <row r="67" spans="1:10" x14ac:dyDescent="0.3">
      <c r="A67" t="s">
        <v>152</v>
      </c>
      <c r="B67" t="s">
        <v>37</v>
      </c>
      <c r="C67" t="s">
        <v>11</v>
      </c>
      <c r="D67" t="s">
        <v>62</v>
      </c>
      <c r="E67">
        <v>96365</v>
      </c>
      <c r="F67" s="3">
        <v>42470</v>
      </c>
      <c r="G67" s="3" t="str">
        <f t="shared" si="2"/>
        <v>GOOD</v>
      </c>
      <c r="H67">
        <v>3</v>
      </c>
      <c r="I67" t="s">
        <v>17</v>
      </c>
      <c r="J67" t="s">
        <v>153</v>
      </c>
    </row>
    <row r="68" spans="1:10" x14ac:dyDescent="0.3">
      <c r="A68" t="s">
        <v>154</v>
      </c>
      <c r="B68" t="s">
        <v>20</v>
      </c>
      <c r="C68" t="s">
        <v>24</v>
      </c>
      <c r="D68" t="s">
        <v>33</v>
      </c>
      <c r="E68">
        <v>61942</v>
      </c>
      <c r="F68" s="3">
        <v>42477</v>
      </c>
      <c r="G68" s="3" t="str">
        <f t="shared" si="2"/>
        <v>NEED TO IMPROVE</v>
      </c>
      <c r="H68">
        <v>3</v>
      </c>
      <c r="I68" t="s">
        <v>34</v>
      </c>
      <c r="J68" t="s">
        <v>155</v>
      </c>
    </row>
    <row r="69" spans="1:10" x14ac:dyDescent="0.3">
      <c r="A69" t="s">
        <v>156</v>
      </c>
      <c r="B69" t="s">
        <v>37</v>
      </c>
      <c r="C69" t="s">
        <v>9</v>
      </c>
      <c r="D69" t="s">
        <v>45</v>
      </c>
      <c r="E69">
        <v>41467</v>
      </c>
      <c r="F69" s="3">
        <v>42484</v>
      </c>
      <c r="G69" s="3" t="str">
        <f t="shared" si="2"/>
        <v>NEED TO IMPROVE</v>
      </c>
      <c r="H69">
        <v>2</v>
      </c>
      <c r="I69" t="s">
        <v>11</v>
      </c>
      <c r="J69" t="s">
        <v>71</v>
      </c>
    </row>
    <row r="70" spans="1:10" x14ac:dyDescent="0.3">
      <c r="A70" t="s">
        <v>157</v>
      </c>
      <c r="B70" t="s">
        <v>52</v>
      </c>
      <c r="C70" t="s">
        <v>9</v>
      </c>
      <c r="D70" t="s">
        <v>33</v>
      </c>
      <c r="E70">
        <v>77096</v>
      </c>
      <c r="F70" s="3">
        <v>42491</v>
      </c>
      <c r="G70" s="3" t="str">
        <f t="shared" si="2"/>
        <v>NEED TO IMPROVE</v>
      </c>
      <c r="H70">
        <v>1</v>
      </c>
      <c r="I70" t="s">
        <v>11</v>
      </c>
      <c r="J70" t="s">
        <v>158</v>
      </c>
    </row>
    <row r="71" spans="1:10" x14ac:dyDescent="0.3">
      <c r="A71" t="s">
        <v>159</v>
      </c>
      <c r="B71" t="s">
        <v>14</v>
      </c>
      <c r="C71" t="s">
        <v>24</v>
      </c>
      <c r="D71" t="s">
        <v>62</v>
      </c>
      <c r="E71">
        <v>69952</v>
      </c>
      <c r="F71" s="3">
        <v>42498</v>
      </c>
      <c r="G71" s="3" t="str">
        <f t="shared" si="2"/>
        <v>NEED TO IMPROVE</v>
      </c>
      <c r="H71">
        <v>5</v>
      </c>
      <c r="I71" t="s">
        <v>34</v>
      </c>
      <c r="J71" t="s">
        <v>12</v>
      </c>
    </row>
    <row r="72" spans="1:10" x14ac:dyDescent="0.3">
      <c r="A72" t="s">
        <v>160</v>
      </c>
      <c r="B72" t="s">
        <v>14</v>
      </c>
      <c r="C72" t="s">
        <v>40</v>
      </c>
      <c r="D72" t="s">
        <v>25</v>
      </c>
      <c r="E72">
        <v>85065</v>
      </c>
      <c r="F72" s="3">
        <v>42505</v>
      </c>
      <c r="G72" s="3" t="str">
        <f t="shared" si="2"/>
        <v>GOOD</v>
      </c>
      <c r="H72">
        <v>3</v>
      </c>
      <c r="I72" t="s">
        <v>11</v>
      </c>
      <c r="J72" t="s">
        <v>161</v>
      </c>
    </row>
    <row r="73" spans="1:10" x14ac:dyDescent="0.3">
      <c r="A73" t="s">
        <v>162</v>
      </c>
      <c r="B73" t="s">
        <v>52</v>
      </c>
      <c r="C73" t="s">
        <v>40</v>
      </c>
      <c r="D73" t="s">
        <v>33</v>
      </c>
      <c r="E73">
        <v>56512</v>
      </c>
      <c r="F73" s="3">
        <v>42512</v>
      </c>
      <c r="G73" s="3" t="str">
        <f t="shared" si="2"/>
        <v>NEED TO IMPROVE</v>
      </c>
      <c r="H73">
        <v>0</v>
      </c>
      <c r="I73" t="s">
        <v>17</v>
      </c>
      <c r="J73" t="s">
        <v>46</v>
      </c>
    </row>
    <row r="74" spans="1:10" x14ac:dyDescent="0.3">
      <c r="A74" t="s">
        <v>163</v>
      </c>
      <c r="B74" t="s">
        <v>23</v>
      </c>
      <c r="C74" t="s">
        <v>24</v>
      </c>
      <c r="D74" t="s">
        <v>33</v>
      </c>
      <c r="E74">
        <v>91101</v>
      </c>
      <c r="F74" s="3">
        <v>42519</v>
      </c>
      <c r="G74" s="3" t="str">
        <f t="shared" si="2"/>
        <v>NEED TO IMPROVE</v>
      </c>
      <c r="H74">
        <v>4</v>
      </c>
      <c r="I74" t="s">
        <v>34</v>
      </c>
      <c r="J74" t="s">
        <v>145</v>
      </c>
    </row>
    <row r="75" spans="1:10" x14ac:dyDescent="0.3">
      <c r="A75" t="s">
        <v>164</v>
      </c>
      <c r="B75" t="s">
        <v>37</v>
      </c>
      <c r="C75" t="s">
        <v>11</v>
      </c>
      <c r="D75" t="s">
        <v>16</v>
      </c>
      <c r="E75">
        <v>41243</v>
      </c>
      <c r="F75" s="3">
        <v>42526</v>
      </c>
      <c r="G75" s="3" t="str">
        <f t="shared" si="2"/>
        <v>GOOD</v>
      </c>
      <c r="H75">
        <v>0</v>
      </c>
      <c r="I75" t="s">
        <v>11</v>
      </c>
      <c r="J75" t="s">
        <v>91</v>
      </c>
    </row>
    <row r="76" spans="1:10" x14ac:dyDescent="0.3">
      <c r="A76" t="s">
        <v>165</v>
      </c>
      <c r="B76" t="s">
        <v>11</v>
      </c>
      <c r="C76" t="s">
        <v>24</v>
      </c>
      <c r="D76" t="s">
        <v>33</v>
      </c>
      <c r="E76">
        <v>96142</v>
      </c>
      <c r="F76" s="3">
        <v>42533</v>
      </c>
      <c r="G76" s="3" t="str">
        <f t="shared" si="2"/>
        <v>NEED TO IMPROVE</v>
      </c>
      <c r="H76">
        <v>1</v>
      </c>
      <c r="I76" t="s">
        <v>17</v>
      </c>
      <c r="J76" t="s">
        <v>166</v>
      </c>
    </row>
    <row r="77" spans="1:10" x14ac:dyDescent="0.3">
      <c r="A77" t="s">
        <v>167</v>
      </c>
      <c r="B77" t="s">
        <v>14</v>
      </c>
      <c r="C77" t="s">
        <v>32</v>
      </c>
      <c r="D77" t="s">
        <v>33</v>
      </c>
      <c r="E77">
        <v>94301</v>
      </c>
      <c r="F77" s="3">
        <v>42540</v>
      </c>
      <c r="G77" s="3" t="str">
        <f t="shared" si="2"/>
        <v>NEED TO IMPROVE</v>
      </c>
      <c r="H77">
        <v>1</v>
      </c>
      <c r="I77" t="s">
        <v>26</v>
      </c>
      <c r="J77" t="s">
        <v>116</v>
      </c>
    </row>
    <row r="78" spans="1:10" x14ac:dyDescent="0.3">
      <c r="A78" t="s">
        <v>168</v>
      </c>
      <c r="B78" t="s">
        <v>29</v>
      </c>
      <c r="C78" t="s">
        <v>11</v>
      </c>
      <c r="D78" t="s">
        <v>45</v>
      </c>
      <c r="E78">
        <v>69166</v>
      </c>
      <c r="F78" s="3">
        <v>42547</v>
      </c>
      <c r="G78" s="3" t="str">
        <f t="shared" si="2"/>
        <v>NEED TO IMPROVE</v>
      </c>
      <c r="H78">
        <v>1</v>
      </c>
      <c r="I78" t="s">
        <v>34</v>
      </c>
      <c r="J78" t="s">
        <v>169</v>
      </c>
    </row>
    <row r="79" spans="1:10" x14ac:dyDescent="0.3">
      <c r="A79" t="s">
        <v>170</v>
      </c>
      <c r="B79" t="s">
        <v>37</v>
      </c>
      <c r="C79" t="s">
        <v>11</v>
      </c>
      <c r="D79" t="s">
        <v>45</v>
      </c>
      <c r="E79">
        <v>78245</v>
      </c>
      <c r="F79" s="3">
        <v>42554</v>
      </c>
      <c r="G79" s="3" t="str">
        <f t="shared" si="2"/>
        <v>NEED TO IMPROVE</v>
      </c>
      <c r="H79">
        <v>2</v>
      </c>
      <c r="I79" t="s">
        <v>11</v>
      </c>
      <c r="J79" t="s">
        <v>171</v>
      </c>
    </row>
    <row r="80" spans="1:10" x14ac:dyDescent="0.3">
      <c r="A80" t="s">
        <v>172</v>
      </c>
      <c r="B80" t="s">
        <v>39</v>
      </c>
      <c r="C80" t="s">
        <v>24</v>
      </c>
      <c r="D80" t="s">
        <v>25</v>
      </c>
      <c r="E80">
        <v>66079</v>
      </c>
      <c r="F80" s="3">
        <v>42561</v>
      </c>
      <c r="G80" s="3" t="str">
        <f t="shared" si="2"/>
        <v>NEED TO IMPROVE</v>
      </c>
      <c r="H80">
        <v>2</v>
      </c>
      <c r="I80" t="s">
        <v>17</v>
      </c>
      <c r="J80" t="s">
        <v>173</v>
      </c>
    </row>
    <row r="81" spans="1:10" x14ac:dyDescent="0.3">
      <c r="A81" t="s">
        <v>174</v>
      </c>
      <c r="B81" t="s">
        <v>14</v>
      </c>
      <c r="C81" t="s">
        <v>40</v>
      </c>
      <c r="D81" t="s">
        <v>33</v>
      </c>
      <c r="E81" t="s">
        <v>10</v>
      </c>
      <c r="F81" s="3" t="s">
        <v>346</v>
      </c>
      <c r="G81" s="3" t="str">
        <f t="shared" si="2"/>
        <v>NEED TO IMPROVE</v>
      </c>
      <c r="H81">
        <v>0</v>
      </c>
      <c r="I81" t="s">
        <v>11</v>
      </c>
      <c r="J81" t="s">
        <v>85</v>
      </c>
    </row>
    <row r="82" spans="1:10" x14ac:dyDescent="0.3">
      <c r="A82" t="s">
        <v>175</v>
      </c>
      <c r="B82" t="s">
        <v>29</v>
      </c>
      <c r="C82" t="s">
        <v>24</v>
      </c>
      <c r="D82" t="s">
        <v>25</v>
      </c>
      <c r="E82">
        <v>95621</v>
      </c>
      <c r="F82" s="3">
        <v>42575</v>
      </c>
      <c r="G82" s="3" t="str">
        <f t="shared" si="2"/>
        <v>NEED TO IMPROVE</v>
      </c>
      <c r="H82">
        <v>3</v>
      </c>
      <c r="I82" t="s">
        <v>34</v>
      </c>
      <c r="J82" t="s">
        <v>176</v>
      </c>
    </row>
    <row r="83" spans="1:10" x14ac:dyDescent="0.3">
      <c r="A83" t="s">
        <v>177</v>
      </c>
      <c r="B83" t="s">
        <v>14</v>
      </c>
      <c r="C83" t="s">
        <v>32</v>
      </c>
      <c r="D83" t="s">
        <v>45</v>
      </c>
      <c r="E83">
        <v>42262</v>
      </c>
      <c r="F83" s="3">
        <v>42582</v>
      </c>
      <c r="G83" s="3" t="str">
        <f t="shared" si="2"/>
        <v>NEED TO IMPROVE</v>
      </c>
      <c r="H83">
        <v>1</v>
      </c>
      <c r="I83" t="s">
        <v>11</v>
      </c>
      <c r="J83" t="s">
        <v>178</v>
      </c>
    </row>
    <row r="84" spans="1:10" x14ac:dyDescent="0.3">
      <c r="A84" t="s">
        <v>179</v>
      </c>
      <c r="B84" t="s">
        <v>37</v>
      </c>
      <c r="C84" t="s">
        <v>24</v>
      </c>
      <c r="D84" t="s">
        <v>33</v>
      </c>
      <c r="E84">
        <v>99621</v>
      </c>
      <c r="F84" s="3">
        <v>42589</v>
      </c>
      <c r="G84" s="3" t="str">
        <f t="shared" si="2"/>
        <v>NEED TO IMPROVE</v>
      </c>
      <c r="H84">
        <v>0</v>
      </c>
      <c r="I84" t="s">
        <v>17</v>
      </c>
      <c r="J84" t="s">
        <v>180</v>
      </c>
    </row>
    <row r="85" spans="1:10" x14ac:dyDescent="0.3">
      <c r="A85" t="s">
        <v>181</v>
      </c>
      <c r="B85" t="s">
        <v>23</v>
      </c>
      <c r="C85" t="s">
        <v>40</v>
      </c>
      <c r="D85" t="s">
        <v>33</v>
      </c>
      <c r="E85">
        <v>44682</v>
      </c>
      <c r="F85" s="3">
        <v>42596</v>
      </c>
      <c r="G85" s="3" t="str">
        <f t="shared" si="2"/>
        <v>NEED TO IMPROVE</v>
      </c>
      <c r="H85">
        <v>4</v>
      </c>
      <c r="I85" t="s">
        <v>34</v>
      </c>
      <c r="J85" t="s">
        <v>110</v>
      </c>
    </row>
    <row r="86" spans="1:10" x14ac:dyDescent="0.3">
      <c r="A86" t="s">
        <v>182</v>
      </c>
      <c r="B86" t="s">
        <v>39</v>
      </c>
      <c r="C86" t="s">
        <v>9</v>
      </c>
      <c r="D86" t="s">
        <v>33</v>
      </c>
      <c r="E86">
        <v>35163</v>
      </c>
      <c r="F86" s="3">
        <v>42603</v>
      </c>
      <c r="G86" s="3" t="str">
        <f t="shared" si="2"/>
        <v>GOOD</v>
      </c>
      <c r="H86">
        <v>5</v>
      </c>
      <c r="I86" t="s">
        <v>17</v>
      </c>
      <c r="J86" t="s">
        <v>183</v>
      </c>
    </row>
    <row r="87" spans="1:10" x14ac:dyDescent="0.3">
      <c r="A87" t="s">
        <v>184</v>
      </c>
      <c r="B87" t="s">
        <v>39</v>
      </c>
      <c r="C87" t="s">
        <v>32</v>
      </c>
      <c r="D87" t="s">
        <v>33</v>
      </c>
      <c r="E87">
        <v>33483</v>
      </c>
      <c r="F87" s="3">
        <v>42610</v>
      </c>
      <c r="G87" s="3" t="str">
        <f t="shared" si="2"/>
        <v>GOOD</v>
      </c>
      <c r="H87">
        <v>4</v>
      </c>
      <c r="I87" t="s">
        <v>26</v>
      </c>
      <c r="J87" t="s">
        <v>185</v>
      </c>
    </row>
    <row r="88" spans="1:10" x14ac:dyDescent="0.3">
      <c r="A88" t="s">
        <v>186</v>
      </c>
      <c r="B88" t="s">
        <v>37</v>
      </c>
      <c r="C88" t="s">
        <v>15</v>
      </c>
      <c r="D88" t="s">
        <v>16</v>
      </c>
      <c r="E88">
        <v>55303</v>
      </c>
      <c r="F88" s="3">
        <v>42617</v>
      </c>
      <c r="G88" s="3" t="str">
        <f t="shared" si="2"/>
        <v>GOOD</v>
      </c>
      <c r="H88">
        <v>4</v>
      </c>
      <c r="I88" t="s">
        <v>26</v>
      </c>
      <c r="J88" t="s">
        <v>75</v>
      </c>
    </row>
    <row r="89" spans="1:10" x14ac:dyDescent="0.3">
      <c r="A89" t="s">
        <v>187</v>
      </c>
      <c r="B89" t="s">
        <v>39</v>
      </c>
      <c r="C89" t="s">
        <v>32</v>
      </c>
      <c r="D89" t="s">
        <v>33</v>
      </c>
      <c r="E89">
        <v>63434</v>
      </c>
      <c r="F89" s="3">
        <v>42624</v>
      </c>
      <c r="G89" s="3" t="str">
        <f t="shared" si="2"/>
        <v>GOOD</v>
      </c>
      <c r="H89">
        <v>3</v>
      </c>
      <c r="I89" t="s">
        <v>11</v>
      </c>
      <c r="J89" t="s">
        <v>188</v>
      </c>
    </row>
    <row r="90" spans="1:10" x14ac:dyDescent="0.3">
      <c r="A90" t="s">
        <v>189</v>
      </c>
      <c r="B90" t="s">
        <v>29</v>
      </c>
      <c r="C90" t="s">
        <v>11</v>
      </c>
      <c r="D90" t="s">
        <v>62</v>
      </c>
      <c r="E90">
        <v>38830</v>
      </c>
      <c r="F90" s="3">
        <v>42631</v>
      </c>
      <c r="G90" s="3" t="str">
        <f t="shared" si="2"/>
        <v>NEED TO IMPROVE</v>
      </c>
      <c r="H90">
        <v>3</v>
      </c>
      <c r="I90" t="s">
        <v>17</v>
      </c>
      <c r="J90" t="s">
        <v>75</v>
      </c>
    </row>
    <row r="91" spans="1:10" x14ac:dyDescent="0.3">
      <c r="A91" t="s">
        <v>190</v>
      </c>
      <c r="B91" t="s">
        <v>11</v>
      </c>
      <c r="C91" t="s">
        <v>40</v>
      </c>
      <c r="D91" t="s">
        <v>45</v>
      </c>
      <c r="E91">
        <v>50741</v>
      </c>
      <c r="F91" s="3">
        <v>42638</v>
      </c>
      <c r="G91" s="3" t="str">
        <f t="shared" si="2"/>
        <v>NEED TO IMPROVE</v>
      </c>
      <c r="H91">
        <v>3</v>
      </c>
      <c r="I91" t="s">
        <v>11</v>
      </c>
      <c r="J91" t="s">
        <v>158</v>
      </c>
    </row>
    <row r="92" spans="1:10" x14ac:dyDescent="0.3">
      <c r="A92" t="s">
        <v>191</v>
      </c>
      <c r="B92" t="s">
        <v>20</v>
      </c>
      <c r="C92" t="s">
        <v>15</v>
      </c>
      <c r="D92" t="s">
        <v>62</v>
      </c>
      <c r="E92">
        <v>69420</v>
      </c>
      <c r="F92" s="3">
        <v>42645</v>
      </c>
      <c r="G92" s="3" t="str">
        <f t="shared" si="2"/>
        <v>NEED TO IMPROVE</v>
      </c>
      <c r="H92">
        <v>1</v>
      </c>
      <c r="I92" t="s">
        <v>26</v>
      </c>
      <c r="J92" t="s">
        <v>121</v>
      </c>
    </row>
    <row r="93" spans="1:10" x14ac:dyDescent="0.3">
      <c r="A93" t="s">
        <v>192</v>
      </c>
      <c r="B93" t="s">
        <v>29</v>
      </c>
      <c r="C93" t="s">
        <v>32</v>
      </c>
      <c r="D93" t="s">
        <v>33</v>
      </c>
      <c r="E93">
        <v>80588</v>
      </c>
      <c r="F93" s="3">
        <v>42652</v>
      </c>
      <c r="G93" s="3" t="str">
        <f t="shared" si="2"/>
        <v>NEED TO IMPROVE</v>
      </c>
      <c r="H93">
        <v>5</v>
      </c>
      <c r="I93" t="s">
        <v>26</v>
      </c>
      <c r="J93" t="s">
        <v>102</v>
      </c>
    </row>
    <row r="94" spans="1:10" x14ac:dyDescent="0.3">
      <c r="A94" t="s">
        <v>193</v>
      </c>
      <c r="B94" t="s">
        <v>20</v>
      </c>
      <c r="C94" t="s">
        <v>11</v>
      </c>
      <c r="D94" t="s">
        <v>25</v>
      </c>
      <c r="E94">
        <v>76238</v>
      </c>
      <c r="F94" s="3">
        <v>42659</v>
      </c>
      <c r="G94" s="3" t="str">
        <f t="shared" si="2"/>
        <v>GOOD</v>
      </c>
      <c r="H94">
        <v>4</v>
      </c>
      <c r="I94" t="s">
        <v>26</v>
      </c>
      <c r="J94" t="s">
        <v>194</v>
      </c>
    </row>
    <row r="95" spans="1:10" x14ac:dyDescent="0.3">
      <c r="A95" t="s">
        <v>195</v>
      </c>
      <c r="B95" t="s">
        <v>52</v>
      </c>
      <c r="C95" t="s">
        <v>32</v>
      </c>
      <c r="D95" t="s">
        <v>33</v>
      </c>
      <c r="E95">
        <v>33264</v>
      </c>
      <c r="F95" s="3">
        <v>42666</v>
      </c>
      <c r="G95" s="3" t="str">
        <f t="shared" si="2"/>
        <v>GOOD</v>
      </c>
      <c r="H95">
        <v>0</v>
      </c>
      <c r="I95" t="s">
        <v>34</v>
      </c>
      <c r="J95" t="s">
        <v>196</v>
      </c>
    </row>
    <row r="96" spans="1:10" x14ac:dyDescent="0.3">
      <c r="A96" t="s">
        <v>197</v>
      </c>
      <c r="B96" t="s">
        <v>20</v>
      </c>
      <c r="C96" t="s">
        <v>9</v>
      </c>
      <c r="D96" t="s">
        <v>62</v>
      </c>
      <c r="E96">
        <v>96101</v>
      </c>
      <c r="F96" s="3">
        <v>42673</v>
      </c>
      <c r="G96" s="3" t="str">
        <f t="shared" si="2"/>
        <v>NEED TO IMPROVE</v>
      </c>
      <c r="H96">
        <v>0</v>
      </c>
      <c r="I96" t="s">
        <v>17</v>
      </c>
      <c r="J96" t="s">
        <v>198</v>
      </c>
    </row>
    <row r="97" spans="1:10" x14ac:dyDescent="0.3">
      <c r="A97" t="s">
        <v>199</v>
      </c>
      <c r="B97" t="s">
        <v>29</v>
      </c>
      <c r="C97" t="s">
        <v>9</v>
      </c>
      <c r="D97" t="s">
        <v>25</v>
      </c>
      <c r="E97">
        <v>72939</v>
      </c>
      <c r="F97" s="3">
        <v>42680</v>
      </c>
      <c r="G97" s="3" t="str">
        <f t="shared" si="2"/>
        <v>NEED TO IMPROVE</v>
      </c>
      <c r="H97">
        <v>3</v>
      </c>
      <c r="I97" t="s">
        <v>11</v>
      </c>
      <c r="J97" t="s">
        <v>200</v>
      </c>
    </row>
    <row r="98" spans="1:10" x14ac:dyDescent="0.3">
      <c r="A98" t="s">
        <v>201</v>
      </c>
      <c r="B98" t="s">
        <v>37</v>
      </c>
      <c r="C98" t="s">
        <v>15</v>
      </c>
      <c r="D98" t="s">
        <v>16</v>
      </c>
      <c r="E98">
        <v>89333</v>
      </c>
      <c r="F98" s="3">
        <v>42687</v>
      </c>
      <c r="G98" s="3" t="str">
        <f t="shared" ref="G98:G129" si="3">IF(H97&gt;3,"GOOD","NEED TO IMPROVE")</f>
        <v>NEED TO IMPROVE</v>
      </c>
      <c r="H98">
        <v>1</v>
      </c>
      <c r="I98" t="s">
        <v>26</v>
      </c>
      <c r="J98" t="s">
        <v>202</v>
      </c>
    </row>
    <row r="99" spans="1:10" x14ac:dyDescent="0.3">
      <c r="A99" t="s">
        <v>203</v>
      </c>
      <c r="B99" t="s">
        <v>52</v>
      </c>
      <c r="C99" t="s">
        <v>32</v>
      </c>
      <c r="D99" t="s">
        <v>62</v>
      </c>
      <c r="E99">
        <v>70470</v>
      </c>
      <c r="F99" s="3">
        <v>42694</v>
      </c>
      <c r="G99" s="3" t="str">
        <f t="shared" si="3"/>
        <v>NEED TO IMPROVE</v>
      </c>
      <c r="H99">
        <v>0</v>
      </c>
      <c r="I99" t="s">
        <v>26</v>
      </c>
      <c r="J99" t="s">
        <v>204</v>
      </c>
    </row>
    <row r="100" spans="1:10" x14ac:dyDescent="0.3">
      <c r="A100" t="s">
        <v>205</v>
      </c>
      <c r="B100" t="s">
        <v>14</v>
      </c>
      <c r="C100" t="s">
        <v>40</v>
      </c>
      <c r="D100" t="s">
        <v>25</v>
      </c>
      <c r="E100">
        <v>70096</v>
      </c>
      <c r="F100" s="3">
        <v>42701</v>
      </c>
      <c r="G100" s="3" t="str">
        <f t="shared" si="3"/>
        <v>NEED TO IMPROVE</v>
      </c>
      <c r="H100">
        <v>4</v>
      </c>
      <c r="I100" t="s">
        <v>26</v>
      </c>
      <c r="J100" t="s">
        <v>206</v>
      </c>
    </row>
    <row r="101" spans="1:10" x14ac:dyDescent="0.3">
      <c r="A101" t="s">
        <v>207</v>
      </c>
      <c r="B101" t="s">
        <v>52</v>
      </c>
      <c r="C101" t="s">
        <v>40</v>
      </c>
      <c r="D101" t="s">
        <v>33</v>
      </c>
      <c r="E101" t="s">
        <v>10</v>
      </c>
      <c r="F101" s="3">
        <v>42708</v>
      </c>
      <c r="G101" s="3" t="str">
        <f t="shared" si="3"/>
        <v>GOOD</v>
      </c>
      <c r="H101">
        <v>2</v>
      </c>
      <c r="I101" t="s">
        <v>17</v>
      </c>
      <c r="J101" t="s">
        <v>208</v>
      </c>
    </row>
    <row r="102" spans="1:10" x14ac:dyDescent="0.3">
      <c r="A102" t="s">
        <v>209</v>
      </c>
      <c r="B102" t="s">
        <v>52</v>
      </c>
      <c r="C102" t="s">
        <v>32</v>
      </c>
      <c r="D102" t="s">
        <v>16</v>
      </c>
      <c r="E102">
        <v>66503</v>
      </c>
      <c r="F102" s="3">
        <v>42715</v>
      </c>
      <c r="G102" s="3" t="str">
        <f t="shared" si="3"/>
        <v>NEED TO IMPROVE</v>
      </c>
      <c r="H102">
        <v>0</v>
      </c>
      <c r="I102" t="s">
        <v>26</v>
      </c>
      <c r="J102" t="s">
        <v>69</v>
      </c>
    </row>
    <row r="103" spans="1:10" x14ac:dyDescent="0.3">
      <c r="A103" t="s">
        <v>210</v>
      </c>
      <c r="B103" t="s">
        <v>20</v>
      </c>
      <c r="C103" t="s">
        <v>15</v>
      </c>
      <c r="D103" t="s">
        <v>16</v>
      </c>
      <c r="E103">
        <v>42096</v>
      </c>
      <c r="F103" s="3">
        <v>42722</v>
      </c>
      <c r="G103" s="3" t="str">
        <f t="shared" si="3"/>
        <v>NEED TO IMPROVE</v>
      </c>
      <c r="H103">
        <v>0</v>
      </c>
      <c r="I103" t="s">
        <v>34</v>
      </c>
      <c r="J103" t="s">
        <v>211</v>
      </c>
    </row>
    <row r="104" spans="1:10" x14ac:dyDescent="0.3">
      <c r="A104" t="s">
        <v>212</v>
      </c>
      <c r="B104" t="s">
        <v>20</v>
      </c>
      <c r="C104" t="s">
        <v>40</v>
      </c>
      <c r="D104" t="s">
        <v>33</v>
      </c>
      <c r="E104">
        <v>79145</v>
      </c>
      <c r="F104" s="3">
        <v>42729</v>
      </c>
      <c r="G104" s="3" t="str">
        <f t="shared" si="3"/>
        <v>NEED TO IMPROVE</v>
      </c>
      <c r="H104">
        <v>5</v>
      </c>
      <c r="I104" t="s">
        <v>17</v>
      </c>
      <c r="J104" t="s">
        <v>116</v>
      </c>
    </row>
    <row r="105" spans="1:10" x14ac:dyDescent="0.3">
      <c r="A105" t="s">
        <v>213</v>
      </c>
      <c r="B105" t="s">
        <v>29</v>
      </c>
      <c r="C105" t="s">
        <v>11</v>
      </c>
      <c r="D105" t="s">
        <v>62</v>
      </c>
      <c r="E105">
        <v>61556</v>
      </c>
      <c r="F105" s="3">
        <v>42736</v>
      </c>
      <c r="G105" s="3" t="str">
        <f t="shared" si="3"/>
        <v>GOOD</v>
      </c>
      <c r="H105">
        <v>1</v>
      </c>
      <c r="I105" t="s">
        <v>11</v>
      </c>
      <c r="J105" t="s">
        <v>208</v>
      </c>
    </row>
    <row r="106" spans="1:10" x14ac:dyDescent="0.3">
      <c r="A106" t="s">
        <v>214</v>
      </c>
      <c r="B106" t="s">
        <v>11</v>
      </c>
      <c r="C106" t="s">
        <v>15</v>
      </c>
      <c r="D106" t="s">
        <v>45</v>
      </c>
      <c r="E106">
        <v>87963</v>
      </c>
      <c r="F106" s="3">
        <v>42743</v>
      </c>
      <c r="G106" s="3" t="str">
        <f t="shared" si="3"/>
        <v>NEED TO IMPROVE</v>
      </c>
      <c r="H106">
        <v>3</v>
      </c>
      <c r="I106" t="s">
        <v>17</v>
      </c>
      <c r="J106" t="s">
        <v>12</v>
      </c>
    </row>
    <row r="107" spans="1:10" x14ac:dyDescent="0.3">
      <c r="A107" t="s">
        <v>215</v>
      </c>
      <c r="B107" t="s">
        <v>14</v>
      </c>
      <c r="C107" t="s">
        <v>32</v>
      </c>
      <c r="D107" t="s">
        <v>33</v>
      </c>
      <c r="E107">
        <v>48325</v>
      </c>
      <c r="F107" s="3">
        <v>42750</v>
      </c>
      <c r="G107" s="3" t="str">
        <f t="shared" si="3"/>
        <v>NEED TO IMPROVE</v>
      </c>
      <c r="H107">
        <v>0</v>
      </c>
      <c r="I107" t="s">
        <v>26</v>
      </c>
      <c r="J107" t="s">
        <v>216</v>
      </c>
    </row>
    <row r="108" spans="1:10" x14ac:dyDescent="0.3">
      <c r="A108" t="s">
        <v>217</v>
      </c>
      <c r="B108" t="s">
        <v>37</v>
      </c>
      <c r="C108" t="s">
        <v>40</v>
      </c>
      <c r="D108" t="s">
        <v>62</v>
      </c>
      <c r="E108">
        <v>86412</v>
      </c>
      <c r="F108" s="3">
        <v>42757</v>
      </c>
      <c r="G108" s="3" t="str">
        <f t="shared" si="3"/>
        <v>NEED TO IMPROVE</v>
      </c>
      <c r="H108">
        <v>2</v>
      </c>
      <c r="I108" t="s">
        <v>34</v>
      </c>
      <c r="J108" t="s">
        <v>73</v>
      </c>
    </row>
    <row r="109" spans="1:10" x14ac:dyDescent="0.3">
      <c r="A109" t="s">
        <v>218</v>
      </c>
      <c r="B109" t="s">
        <v>37</v>
      </c>
      <c r="C109" t="s">
        <v>15</v>
      </c>
      <c r="D109" t="s">
        <v>33</v>
      </c>
      <c r="E109">
        <v>66761</v>
      </c>
      <c r="F109" s="3">
        <v>42764</v>
      </c>
      <c r="G109" s="3" t="str">
        <f t="shared" si="3"/>
        <v>NEED TO IMPROVE</v>
      </c>
      <c r="H109">
        <v>1</v>
      </c>
      <c r="I109" t="s">
        <v>11</v>
      </c>
      <c r="J109" t="s">
        <v>219</v>
      </c>
    </row>
    <row r="110" spans="1:10" x14ac:dyDescent="0.3">
      <c r="A110" t="s">
        <v>220</v>
      </c>
      <c r="B110" t="s">
        <v>29</v>
      </c>
      <c r="C110" t="s">
        <v>11</v>
      </c>
      <c r="D110" t="s">
        <v>33</v>
      </c>
      <c r="E110">
        <v>88850</v>
      </c>
      <c r="F110" s="3">
        <v>42771</v>
      </c>
      <c r="G110" s="3" t="str">
        <f t="shared" si="3"/>
        <v>NEED TO IMPROVE</v>
      </c>
      <c r="H110">
        <v>1</v>
      </c>
      <c r="I110" t="s">
        <v>34</v>
      </c>
      <c r="J110" t="s">
        <v>221</v>
      </c>
    </row>
    <row r="111" spans="1:10" x14ac:dyDescent="0.3">
      <c r="A111" t="s">
        <v>222</v>
      </c>
      <c r="B111" t="s">
        <v>39</v>
      </c>
      <c r="C111" t="s">
        <v>24</v>
      </c>
      <c r="D111" t="s">
        <v>33</v>
      </c>
      <c r="E111">
        <v>31293</v>
      </c>
      <c r="F111" s="3" t="s">
        <v>346</v>
      </c>
      <c r="G111" s="3" t="str">
        <f t="shared" si="3"/>
        <v>NEED TO IMPROVE</v>
      </c>
      <c r="H111">
        <v>2</v>
      </c>
      <c r="I111" t="s">
        <v>34</v>
      </c>
      <c r="J111" t="s">
        <v>223</v>
      </c>
    </row>
    <row r="112" spans="1:10" x14ac:dyDescent="0.3">
      <c r="A112" t="s">
        <v>224</v>
      </c>
      <c r="B112" t="s">
        <v>39</v>
      </c>
      <c r="C112" t="s">
        <v>32</v>
      </c>
      <c r="D112" t="s">
        <v>25</v>
      </c>
      <c r="E112">
        <v>34306</v>
      </c>
      <c r="F112" s="3">
        <v>42785</v>
      </c>
      <c r="G112" s="3" t="str">
        <f t="shared" si="3"/>
        <v>NEED TO IMPROVE</v>
      </c>
      <c r="H112">
        <v>5</v>
      </c>
      <c r="I112" t="s">
        <v>34</v>
      </c>
      <c r="J112" t="s">
        <v>155</v>
      </c>
    </row>
    <row r="113" spans="1:10" x14ac:dyDescent="0.3">
      <c r="A113" t="s">
        <v>225</v>
      </c>
      <c r="B113" t="s">
        <v>14</v>
      </c>
      <c r="C113" t="s">
        <v>9</v>
      </c>
      <c r="D113" t="s">
        <v>33</v>
      </c>
      <c r="E113">
        <v>78330</v>
      </c>
      <c r="F113" s="3">
        <v>42792</v>
      </c>
      <c r="G113" s="3" t="str">
        <f t="shared" si="3"/>
        <v>GOOD</v>
      </c>
      <c r="H113">
        <v>0</v>
      </c>
      <c r="I113" t="s">
        <v>17</v>
      </c>
      <c r="J113" t="s">
        <v>206</v>
      </c>
    </row>
    <row r="114" spans="1:10" x14ac:dyDescent="0.3">
      <c r="A114" t="s">
        <v>226</v>
      </c>
      <c r="B114" t="s">
        <v>20</v>
      </c>
      <c r="C114" t="s">
        <v>32</v>
      </c>
      <c r="D114" t="s">
        <v>25</v>
      </c>
      <c r="E114">
        <v>47653</v>
      </c>
      <c r="F114" s="3">
        <v>42799</v>
      </c>
      <c r="G114" s="3" t="str">
        <f t="shared" si="3"/>
        <v>NEED TO IMPROVE</v>
      </c>
      <c r="H114">
        <v>1</v>
      </c>
      <c r="I114" t="s">
        <v>26</v>
      </c>
      <c r="J114" t="s">
        <v>227</v>
      </c>
    </row>
    <row r="115" spans="1:10" x14ac:dyDescent="0.3">
      <c r="A115" t="s">
        <v>228</v>
      </c>
      <c r="B115" t="s">
        <v>14</v>
      </c>
      <c r="C115" t="s">
        <v>40</v>
      </c>
      <c r="D115" t="s">
        <v>45</v>
      </c>
      <c r="E115">
        <v>44627</v>
      </c>
      <c r="F115" s="3">
        <v>42806</v>
      </c>
      <c r="G115" s="3" t="str">
        <f t="shared" si="3"/>
        <v>NEED TO IMPROVE</v>
      </c>
      <c r="H115">
        <v>4</v>
      </c>
      <c r="I115" t="s">
        <v>11</v>
      </c>
      <c r="J115" t="s">
        <v>147</v>
      </c>
    </row>
    <row r="116" spans="1:10" x14ac:dyDescent="0.3">
      <c r="A116" t="s">
        <v>229</v>
      </c>
      <c r="B116" t="s">
        <v>52</v>
      </c>
      <c r="C116" t="s">
        <v>15</v>
      </c>
      <c r="D116" t="s">
        <v>16</v>
      </c>
      <c r="E116">
        <v>92343</v>
      </c>
      <c r="F116" s="3">
        <v>42813</v>
      </c>
      <c r="G116" s="3" t="str">
        <f t="shared" si="3"/>
        <v>GOOD</v>
      </c>
      <c r="H116">
        <v>4</v>
      </c>
      <c r="I116" t="s">
        <v>34</v>
      </c>
      <c r="J116" t="s">
        <v>75</v>
      </c>
    </row>
    <row r="117" spans="1:10" x14ac:dyDescent="0.3">
      <c r="A117" t="s">
        <v>230</v>
      </c>
      <c r="B117" t="s">
        <v>52</v>
      </c>
      <c r="C117" t="s">
        <v>40</v>
      </c>
      <c r="D117" t="s">
        <v>62</v>
      </c>
      <c r="E117">
        <v>38837</v>
      </c>
      <c r="F117" s="3">
        <v>42820</v>
      </c>
      <c r="G117" s="3" t="str">
        <f t="shared" si="3"/>
        <v>GOOD</v>
      </c>
      <c r="H117">
        <v>5</v>
      </c>
      <c r="I117" t="s">
        <v>34</v>
      </c>
      <c r="J117" t="s">
        <v>155</v>
      </c>
    </row>
    <row r="118" spans="1:10" x14ac:dyDescent="0.3">
      <c r="A118" t="s">
        <v>231</v>
      </c>
      <c r="B118" t="s">
        <v>52</v>
      </c>
      <c r="C118" t="s">
        <v>40</v>
      </c>
      <c r="D118" t="s">
        <v>33</v>
      </c>
      <c r="E118">
        <v>73483</v>
      </c>
      <c r="F118" s="3">
        <v>42827</v>
      </c>
      <c r="G118" s="3" t="str">
        <f t="shared" si="3"/>
        <v>GOOD</v>
      </c>
      <c r="H118">
        <v>1</v>
      </c>
      <c r="I118" t="s">
        <v>11</v>
      </c>
      <c r="J118" t="s">
        <v>232</v>
      </c>
    </row>
    <row r="119" spans="1:10" x14ac:dyDescent="0.3">
      <c r="A119" t="s">
        <v>233</v>
      </c>
      <c r="B119" t="s">
        <v>39</v>
      </c>
      <c r="C119" t="s">
        <v>24</v>
      </c>
      <c r="D119" t="s">
        <v>33</v>
      </c>
      <c r="E119">
        <v>95032</v>
      </c>
      <c r="F119" s="3">
        <v>42834</v>
      </c>
      <c r="G119" s="3" t="str">
        <f t="shared" si="3"/>
        <v>NEED TO IMPROVE</v>
      </c>
      <c r="H119">
        <v>3</v>
      </c>
      <c r="I119" t="s">
        <v>11</v>
      </c>
      <c r="J119" t="s">
        <v>234</v>
      </c>
    </row>
    <row r="120" spans="1:10" x14ac:dyDescent="0.3">
      <c r="A120" t="s">
        <v>235</v>
      </c>
      <c r="B120" t="s">
        <v>14</v>
      </c>
      <c r="C120" t="s">
        <v>24</v>
      </c>
      <c r="D120" t="s">
        <v>62</v>
      </c>
      <c r="E120">
        <v>44358</v>
      </c>
      <c r="F120" s="3">
        <v>42841</v>
      </c>
      <c r="G120" s="3" t="str">
        <f t="shared" si="3"/>
        <v>NEED TO IMPROVE</v>
      </c>
      <c r="H120">
        <v>0</v>
      </c>
      <c r="I120" t="s">
        <v>34</v>
      </c>
      <c r="J120" t="s">
        <v>69</v>
      </c>
    </row>
    <row r="121" spans="1:10" x14ac:dyDescent="0.3">
      <c r="A121" t="s">
        <v>236</v>
      </c>
      <c r="B121" t="s">
        <v>11</v>
      </c>
      <c r="C121" t="s">
        <v>32</v>
      </c>
      <c r="D121" t="s">
        <v>25</v>
      </c>
      <c r="E121" t="s">
        <v>10</v>
      </c>
      <c r="F121" s="3" t="s">
        <v>346</v>
      </c>
      <c r="G121" s="3" t="str">
        <f t="shared" si="3"/>
        <v>NEED TO IMPROVE</v>
      </c>
      <c r="H121">
        <v>5</v>
      </c>
      <c r="I121" t="s">
        <v>11</v>
      </c>
      <c r="J121" t="s">
        <v>237</v>
      </c>
    </row>
    <row r="122" spans="1:10" x14ac:dyDescent="0.3">
      <c r="A122" t="s">
        <v>238</v>
      </c>
      <c r="B122" t="s">
        <v>39</v>
      </c>
      <c r="C122" t="s">
        <v>24</v>
      </c>
      <c r="D122" t="s">
        <v>25</v>
      </c>
      <c r="E122">
        <v>45676</v>
      </c>
      <c r="F122" s="3">
        <v>42855</v>
      </c>
      <c r="G122" s="3" t="str">
        <f t="shared" si="3"/>
        <v>GOOD</v>
      </c>
      <c r="H122">
        <v>2</v>
      </c>
      <c r="I122" t="s">
        <v>11</v>
      </c>
      <c r="J122" t="s">
        <v>239</v>
      </c>
    </row>
    <row r="123" spans="1:10" x14ac:dyDescent="0.3">
      <c r="A123" t="s">
        <v>240</v>
      </c>
      <c r="B123" t="s">
        <v>52</v>
      </c>
      <c r="C123" t="s">
        <v>24</v>
      </c>
      <c r="D123" t="s">
        <v>16</v>
      </c>
      <c r="E123">
        <v>52036</v>
      </c>
      <c r="F123" s="3">
        <v>42862</v>
      </c>
      <c r="G123" s="3" t="str">
        <f t="shared" si="3"/>
        <v>NEED TO IMPROVE</v>
      </c>
      <c r="H123">
        <v>3</v>
      </c>
      <c r="I123" t="s">
        <v>26</v>
      </c>
      <c r="J123" t="s">
        <v>241</v>
      </c>
    </row>
    <row r="124" spans="1:10" x14ac:dyDescent="0.3">
      <c r="A124" t="s">
        <v>242</v>
      </c>
      <c r="B124" t="s">
        <v>29</v>
      </c>
      <c r="C124" t="s">
        <v>11</v>
      </c>
      <c r="D124" t="s">
        <v>16</v>
      </c>
      <c r="E124">
        <v>30357</v>
      </c>
      <c r="F124" s="3">
        <v>42869</v>
      </c>
      <c r="G124" s="3" t="str">
        <f t="shared" si="3"/>
        <v>NEED TO IMPROVE</v>
      </c>
      <c r="H124">
        <v>5</v>
      </c>
      <c r="I124" t="s">
        <v>26</v>
      </c>
      <c r="J124" t="s">
        <v>180</v>
      </c>
    </row>
    <row r="125" spans="1:10" x14ac:dyDescent="0.3">
      <c r="A125" t="s">
        <v>243</v>
      </c>
      <c r="B125" t="s">
        <v>23</v>
      </c>
      <c r="C125" t="s">
        <v>32</v>
      </c>
      <c r="D125" t="s">
        <v>33</v>
      </c>
      <c r="E125">
        <v>60034</v>
      </c>
      <c r="F125" s="3">
        <v>42876</v>
      </c>
      <c r="G125" s="3" t="str">
        <f t="shared" si="3"/>
        <v>GOOD</v>
      </c>
      <c r="H125">
        <v>1</v>
      </c>
      <c r="I125" t="s">
        <v>34</v>
      </c>
      <c r="J125" t="s">
        <v>244</v>
      </c>
    </row>
    <row r="126" spans="1:10" x14ac:dyDescent="0.3">
      <c r="A126" t="s">
        <v>245</v>
      </c>
      <c r="B126" t="s">
        <v>23</v>
      </c>
      <c r="C126" t="s">
        <v>9</v>
      </c>
      <c r="D126" t="s">
        <v>33</v>
      </c>
      <c r="E126">
        <v>90019</v>
      </c>
      <c r="F126" s="3">
        <v>42883</v>
      </c>
      <c r="G126" s="3" t="str">
        <f t="shared" si="3"/>
        <v>NEED TO IMPROVE</v>
      </c>
      <c r="H126">
        <v>5</v>
      </c>
      <c r="I126" t="s">
        <v>11</v>
      </c>
      <c r="J126" t="s">
        <v>246</v>
      </c>
    </row>
    <row r="127" spans="1:10" x14ac:dyDescent="0.3">
      <c r="A127" t="s">
        <v>247</v>
      </c>
      <c r="B127" t="s">
        <v>52</v>
      </c>
      <c r="C127" t="s">
        <v>11</v>
      </c>
      <c r="D127" t="s">
        <v>16</v>
      </c>
      <c r="E127">
        <v>71494</v>
      </c>
      <c r="F127" s="3">
        <v>42890</v>
      </c>
      <c r="G127" s="3" t="str">
        <f t="shared" si="3"/>
        <v>GOOD</v>
      </c>
      <c r="H127">
        <v>3</v>
      </c>
      <c r="I127" t="s">
        <v>26</v>
      </c>
      <c r="J127" t="s">
        <v>248</v>
      </c>
    </row>
    <row r="128" spans="1:10" x14ac:dyDescent="0.3">
      <c r="A128" t="s">
        <v>249</v>
      </c>
      <c r="B128" t="s">
        <v>23</v>
      </c>
      <c r="C128" t="s">
        <v>9</v>
      </c>
      <c r="D128" t="s">
        <v>25</v>
      </c>
      <c r="E128">
        <v>91953</v>
      </c>
      <c r="F128" s="3">
        <v>42897</v>
      </c>
      <c r="G128" s="3" t="str">
        <f t="shared" si="3"/>
        <v>NEED TO IMPROVE</v>
      </c>
      <c r="H128">
        <v>2</v>
      </c>
      <c r="I128" t="s">
        <v>26</v>
      </c>
      <c r="J128" t="s">
        <v>87</v>
      </c>
    </row>
    <row r="129" spans="1:10" x14ac:dyDescent="0.3">
      <c r="A129" t="s">
        <v>250</v>
      </c>
      <c r="B129" t="s">
        <v>39</v>
      </c>
      <c r="C129" t="s">
        <v>24</v>
      </c>
      <c r="D129" t="s">
        <v>25</v>
      </c>
      <c r="E129">
        <v>30402</v>
      </c>
      <c r="F129" s="3">
        <v>42904</v>
      </c>
      <c r="G129" s="3" t="str">
        <f t="shared" si="3"/>
        <v>NEED TO IMPROVE</v>
      </c>
      <c r="H129">
        <v>1</v>
      </c>
      <c r="I129" t="s">
        <v>11</v>
      </c>
      <c r="J129" t="s">
        <v>251</v>
      </c>
    </row>
    <row r="130" spans="1:10" x14ac:dyDescent="0.3">
      <c r="A130" t="s">
        <v>252</v>
      </c>
      <c r="B130" t="s">
        <v>52</v>
      </c>
      <c r="C130" t="s">
        <v>11</v>
      </c>
      <c r="D130" t="s">
        <v>45</v>
      </c>
      <c r="E130">
        <v>62994</v>
      </c>
      <c r="F130" s="3">
        <v>42911</v>
      </c>
      <c r="G130" s="3" t="str">
        <f t="shared" ref="G130:G150" si="4">IF(H129&gt;3,"GOOD","NEED TO IMPROVE")</f>
        <v>NEED TO IMPROVE</v>
      </c>
      <c r="H130">
        <v>0</v>
      </c>
      <c r="I130" t="s">
        <v>11</v>
      </c>
      <c r="J130" t="s">
        <v>112</v>
      </c>
    </row>
    <row r="131" spans="1:10" x14ac:dyDescent="0.3">
      <c r="A131" t="s">
        <v>253</v>
      </c>
      <c r="B131" t="s">
        <v>20</v>
      </c>
      <c r="C131" t="s">
        <v>24</v>
      </c>
      <c r="D131" t="s">
        <v>33</v>
      </c>
      <c r="E131">
        <v>48289</v>
      </c>
      <c r="F131" s="3" t="s">
        <v>346</v>
      </c>
      <c r="G131" s="3" t="str">
        <f t="shared" si="4"/>
        <v>NEED TO IMPROVE</v>
      </c>
      <c r="H131">
        <v>3</v>
      </c>
      <c r="I131" t="s">
        <v>26</v>
      </c>
      <c r="J131" t="s">
        <v>43</v>
      </c>
    </row>
    <row r="132" spans="1:10" x14ac:dyDescent="0.3">
      <c r="A132" t="s">
        <v>254</v>
      </c>
      <c r="B132" t="s">
        <v>37</v>
      </c>
      <c r="C132" t="s">
        <v>40</v>
      </c>
      <c r="D132" t="s">
        <v>16</v>
      </c>
      <c r="E132">
        <v>34402</v>
      </c>
      <c r="F132" s="3">
        <v>42925</v>
      </c>
      <c r="G132" s="3" t="str">
        <f t="shared" si="4"/>
        <v>NEED TO IMPROVE</v>
      </c>
      <c r="H132">
        <v>3</v>
      </c>
      <c r="I132" t="s">
        <v>17</v>
      </c>
      <c r="J132" t="s">
        <v>106</v>
      </c>
    </row>
    <row r="133" spans="1:10" x14ac:dyDescent="0.3">
      <c r="A133" t="s">
        <v>255</v>
      </c>
      <c r="B133" t="s">
        <v>14</v>
      </c>
      <c r="C133" t="s">
        <v>15</v>
      </c>
      <c r="D133" t="s">
        <v>25</v>
      </c>
      <c r="E133">
        <v>38678</v>
      </c>
      <c r="F133" s="3">
        <v>42932</v>
      </c>
      <c r="G133" s="3" t="str">
        <f t="shared" si="4"/>
        <v>NEED TO IMPROVE</v>
      </c>
      <c r="H133">
        <v>3</v>
      </c>
      <c r="I133" t="s">
        <v>17</v>
      </c>
      <c r="J133" t="s">
        <v>256</v>
      </c>
    </row>
    <row r="134" spans="1:10" x14ac:dyDescent="0.3">
      <c r="A134" t="s">
        <v>257</v>
      </c>
      <c r="B134" t="s">
        <v>39</v>
      </c>
      <c r="C134" t="s">
        <v>15</v>
      </c>
      <c r="D134" t="s">
        <v>16</v>
      </c>
      <c r="E134">
        <v>45758</v>
      </c>
      <c r="F134" s="3">
        <v>42939</v>
      </c>
      <c r="G134" s="3" t="str">
        <f t="shared" si="4"/>
        <v>NEED TO IMPROVE</v>
      </c>
      <c r="H134">
        <v>3</v>
      </c>
      <c r="I134" t="s">
        <v>11</v>
      </c>
      <c r="J134" t="s">
        <v>223</v>
      </c>
    </row>
    <row r="135" spans="1:10" x14ac:dyDescent="0.3">
      <c r="A135" t="s">
        <v>258</v>
      </c>
      <c r="B135" t="s">
        <v>14</v>
      </c>
      <c r="C135" t="s">
        <v>40</v>
      </c>
      <c r="D135" t="s">
        <v>33</v>
      </c>
      <c r="E135">
        <v>62476</v>
      </c>
      <c r="F135" s="3">
        <v>42946</v>
      </c>
      <c r="G135" s="3" t="str">
        <f t="shared" si="4"/>
        <v>NEED TO IMPROVE</v>
      </c>
      <c r="H135">
        <v>1</v>
      </c>
      <c r="I135" t="s">
        <v>17</v>
      </c>
      <c r="J135" t="s">
        <v>136</v>
      </c>
    </row>
    <row r="136" spans="1:10" x14ac:dyDescent="0.3">
      <c r="A136" t="s">
        <v>259</v>
      </c>
      <c r="B136" t="s">
        <v>11</v>
      </c>
      <c r="C136" t="s">
        <v>32</v>
      </c>
      <c r="D136" t="s">
        <v>45</v>
      </c>
      <c r="E136">
        <v>39280</v>
      </c>
      <c r="F136" s="3">
        <v>42953</v>
      </c>
      <c r="G136" s="3" t="str">
        <f t="shared" si="4"/>
        <v>NEED TO IMPROVE</v>
      </c>
      <c r="H136">
        <v>3</v>
      </c>
      <c r="I136" t="s">
        <v>34</v>
      </c>
      <c r="J136" t="s">
        <v>97</v>
      </c>
    </row>
    <row r="137" spans="1:10" x14ac:dyDescent="0.3">
      <c r="A137" t="s">
        <v>260</v>
      </c>
      <c r="B137" t="s">
        <v>29</v>
      </c>
      <c r="C137" t="s">
        <v>9</v>
      </c>
      <c r="D137" t="s">
        <v>33</v>
      </c>
      <c r="E137">
        <v>60335</v>
      </c>
      <c r="F137" s="3">
        <v>42960</v>
      </c>
      <c r="G137" s="3" t="str">
        <f t="shared" si="4"/>
        <v>NEED TO IMPROVE</v>
      </c>
      <c r="H137">
        <v>4</v>
      </c>
      <c r="I137" t="s">
        <v>17</v>
      </c>
      <c r="J137" t="s">
        <v>127</v>
      </c>
    </row>
    <row r="138" spans="1:10" x14ac:dyDescent="0.3">
      <c r="A138" t="s">
        <v>261</v>
      </c>
      <c r="B138" t="s">
        <v>39</v>
      </c>
      <c r="C138" t="s">
        <v>15</v>
      </c>
      <c r="D138" t="s">
        <v>16</v>
      </c>
      <c r="E138">
        <v>84968</v>
      </c>
      <c r="F138" s="3">
        <v>42967</v>
      </c>
      <c r="G138" s="3" t="str">
        <f t="shared" si="4"/>
        <v>GOOD</v>
      </c>
      <c r="H138">
        <v>0</v>
      </c>
      <c r="I138" t="s">
        <v>11</v>
      </c>
      <c r="J138" t="s">
        <v>262</v>
      </c>
    </row>
    <row r="139" spans="1:10" x14ac:dyDescent="0.3">
      <c r="A139" t="s">
        <v>263</v>
      </c>
      <c r="B139" t="s">
        <v>39</v>
      </c>
      <c r="C139" t="s">
        <v>40</v>
      </c>
      <c r="D139" t="s">
        <v>62</v>
      </c>
      <c r="E139">
        <v>84750</v>
      </c>
      <c r="F139" s="3">
        <v>42974</v>
      </c>
      <c r="G139" s="3" t="str">
        <f t="shared" si="4"/>
        <v>NEED TO IMPROVE</v>
      </c>
      <c r="H139">
        <v>4</v>
      </c>
      <c r="I139" t="s">
        <v>34</v>
      </c>
      <c r="J139" t="s">
        <v>58</v>
      </c>
    </row>
    <row r="140" spans="1:10" x14ac:dyDescent="0.3">
      <c r="A140" t="s">
        <v>264</v>
      </c>
      <c r="B140" t="s">
        <v>52</v>
      </c>
      <c r="C140" t="s">
        <v>32</v>
      </c>
      <c r="D140" t="s">
        <v>33</v>
      </c>
      <c r="E140">
        <v>73348</v>
      </c>
      <c r="F140" s="3">
        <v>42981</v>
      </c>
      <c r="G140" s="3" t="str">
        <f t="shared" si="4"/>
        <v>GOOD</v>
      </c>
      <c r="H140">
        <v>2</v>
      </c>
      <c r="I140" t="s">
        <v>11</v>
      </c>
      <c r="J140" t="s">
        <v>169</v>
      </c>
    </row>
    <row r="141" spans="1:10" x14ac:dyDescent="0.3">
      <c r="A141" t="s">
        <v>265</v>
      </c>
      <c r="B141" t="s">
        <v>39</v>
      </c>
      <c r="C141" t="s">
        <v>24</v>
      </c>
      <c r="D141" t="s">
        <v>25</v>
      </c>
      <c r="E141" t="s">
        <v>10</v>
      </c>
      <c r="F141" s="3">
        <v>42988</v>
      </c>
      <c r="G141" s="3" t="str">
        <f t="shared" si="4"/>
        <v>NEED TO IMPROVE</v>
      </c>
      <c r="H141">
        <v>4</v>
      </c>
      <c r="I141" t="s">
        <v>17</v>
      </c>
      <c r="J141" t="s">
        <v>12</v>
      </c>
    </row>
    <row r="142" spans="1:10" x14ac:dyDescent="0.3">
      <c r="A142" t="s">
        <v>266</v>
      </c>
      <c r="B142" t="s">
        <v>29</v>
      </c>
      <c r="C142" t="s">
        <v>40</v>
      </c>
      <c r="D142" t="s">
        <v>25</v>
      </c>
      <c r="E142">
        <v>66882</v>
      </c>
      <c r="F142" s="3">
        <v>42995</v>
      </c>
      <c r="G142" s="3" t="str">
        <f t="shared" si="4"/>
        <v>GOOD</v>
      </c>
      <c r="H142">
        <v>5</v>
      </c>
      <c r="I142" t="s">
        <v>17</v>
      </c>
      <c r="J142" t="s">
        <v>83</v>
      </c>
    </row>
    <row r="143" spans="1:10" x14ac:dyDescent="0.3">
      <c r="A143" t="s">
        <v>267</v>
      </c>
      <c r="B143" t="s">
        <v>20</v>
      </c>
      <c r="C143" t="s">
        <v>40</v>
      </c>
      <c r="D143" t="s">
        <v>33</v>
      </c>
      <c r="E143">
        <v>86775</v>
      </c>
      <c r="F143" s="3">
        <v>43002</v>
      </c>
      <c r="G143" s="3" t="str">
        <f t="shared" si="4"/>
        <v>GOOD</v>
      </c>
      <c r="H143">
        <v>3</v>
      </c>
      <c r="I143" t="s">
        <v>17</v>
      </c>
      <c r="J143" t="s">
        <v>93</v>
      </c>
    </row>
    <row r="144" spans="1:10" x14ac:dyDescent="0.3">
      <c r="A144" t="s">
        <v>268</v>
      </c>
      <c r="B144" t="s">
        <v>39</v>
      </c>
      <c r="C144" t="s">
        <v>24</v>
      </c>
      <c r="D144" t="s">
        <v>45</v>
      </c>
      <c r="E144">
        <v>91620</v>
      </c>
      <c r="F144" s="3">
        <v>43009</v>
      </c>
      <c r="G144" s="3" t="str">
        <f t="shared" si="4"/>
        <v>NEED TO IMPROVE</v>
      </c>
      <c r="H144">
        <v>0</v>
      </c>
      <c r="I144" t="s">
        <v>11</v>
      </c>
      <c r="J144" t="s">
        <v>269</v>
      </c>
    </row>
    <row r="145" spans="1:10" x14ac:dyDescent="0.3">
      <c r="A145" t="s">
        <v>270</v>
      </c>
      <c r="B145" t="s">
        <v>14</v>
      </c>
      <c r="C145" t="s">
        <v>11</v>
      </c>
      <c r="D145" t="s">
        <v>33</v>
      </c>
      <c r="E145">
        <v>94148</v>
      </c>
      <c r="F145" s="3">
        <v>43016</v>
      </c>
      <c r="G145" s="3" t="str">
        <f t="shared" si="4"/>
        <v>NEED TO IMPROVE</v>
      </c>
      <c r="H145">
        <v>2</v>
      </c>
      <c r="I145" t="s">
        <v>11</v>
      </c>
      <c r="J145" t="s">
        <v>271</v>
      </c>
    </row>
    <row r="146" spans="1:10" x14ac:dyDescent="0.3">
      <c r="A146" t="s">
        <v>272</v>
      </c>
      <c r="B146" t="s">
        <v>37</v>
      </c>
      <c r="C146" t="s">
        <v>24</v>
      </c>
      <c r="D146" t="s">
        <v>62</v>
      </c>
      <c r="E146">
        <v>35627</v>
      </c>
      <c r="F146" s="3">
        <v>43023</v>
      </c>
      <c r="G146" s="3" t="str">
        <f t="shared" si="4"/>
        <v>NEED TO IMPROVE</v>
      </c>
      <c r="H146">
        <v>5</v>
      </c>
      <c r="I146" t="s">
        <v>34</v>
      </c>
      <c r="J146" t="s">
        <v>256</v>
      </c>
    </row>
    <row r="147" spans="1:10" x14ac:dyDescent="0.3">
      <c r="A147" t="s">
        <v>273</v>
      </c>
      <c r="B147" t="s">
        <v>23</v>
      </c>
      <c r="C147" t="s">
        <v>40</v>
      </c>
      <c r="D147" t="s">
        <v>25</v>
      </c>
      <c r="E147">
        <v>57141</v>
      </c>
      <c r="F147" s="3">
        <v>43030</v>
      </c>
      <c r="G147" s="3" t="str">
        <f t="shared" si="4"/>
        <v>GOOD</v>
      </c>
      <c r="H147">
        <v>2</v>
      </c>
      <c r="I147" t="s">
        <v>11</v>
      </c>
      <c r="J147" t="s">
        <v>262</v>
      </c>
    </row>
    <row r="148" spans="1:10" x14ac:dyDescent="0.3">
      <c r="A148" t="s">
        <v>274</v>
      </c>
      <c r="B148" t="s">
        <v>52</v>
      </c>
      <c r="C148" t="s">
        <v>24</v>
      </c>
      <c r="D148" t="s">
        <v>62</v>
      </c>
      <c r="E148">
        <v>65270</v>
      </c>
      <c r="F148" s="3">
        <v>43037</v>
      </c>
      <c r="G148" s="3" t="str">
        <f t="shared" si="4"/>
        <v>NEED TO IMPROVE</v>
      </c>
      <c r="H148">
        <v>1</v>
      </c>
      <c r="I148" t="s">
        <v>11</v>
      </c>
      <c r="J148" t="s">
        <v>275</v>
      </c>
    </row>
    <row r="149" spans="1:10" x14ac:dyDescent="0.3">
      <c r="A149" t="s">
        <v>276</v>
      </c>
      <c r="B149" t="s">
        <v>52</v>
      </c>
      <c r="C149" t="s">
        <v>11</v>
      </c>
      <c r="D149" t="s">
        <v>45</v>
      </c>
      <c r="E149">
        <v>67335</v>
      </c>
      <c r="F149" s="3">
        <v>43044</v>
      </c>
      <c r="G149" s="3" t="str">
        <f t="shared" si="4"/>
        <v>NEED TO IMPROVE</v>
      </c>
      <c r="H149">
        <v>1</v>
      </c>
      <c r="I149" t="s">
        <v>17</v>
      </c>
      <c r="J149" t="s">
        <v>142</v>
      </c>
    </row>
    <row r="150" spans="1:10" x14ac:dyDescent="0.3">
      <c r="A150" t="s">
        <v>277</v>
      </c>
      <c r="B150" t="s">
        <v>37</v>
      </c>
      <c r="C150" t="s">
        <v>40</v>
      </c>
      <c r="D150" t="s">
        <v>33</v>
      </c>
      <c r="E150">
        <v>98475</v>
      </c>
      <c r="F150" s="3">
        <v>43051</v>
      </c>
      <c r="G150" s="3" t="str">
        <f t="shared" si="4"/>
        <v>NEED TO IMPROVE</v>
      </c>
      <c r="H150">
        <v>5</v>
      </c>
      <c r="I150" t="s">
        <v>17</v>
      </c>
      <c r="J150" t="s">
        <v>278</v>
      </c>
    </row>
  </sheetData>
  <conditionalFormatting sqref="A1:A1048576">
    <cfRule type="duplicateValues" dxfId="0" priority="3"/>
  </conditionalFormatting>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3FB2DD-4AC0-427A-B155-39B576D8FC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 </vt:lpstr>
      <vt:lpstr>DASHBOARD</vt:lpstr>
      <vt:lpstr>DATA CLEANING AND TRANSFORMATIO</vt:lpstr>
      <vt:lpstr>EMPLOYEE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gomathivvm@gmail.com</dc:creator>
  <cp:lastModifiedBy>gomathivvm@gmail.com</cp:lastModifiedBy>
  <dcterms:created xsi:type="dcterms:W3CDTF">2025-11-15T05:44:44Z</dcterms:created>
  <dcterms:modified xsi:type="dcterms:W3CDTF">2025-11-16T14:05:06Z</dcterms:modified>
</cp:coreProperties>
</file>